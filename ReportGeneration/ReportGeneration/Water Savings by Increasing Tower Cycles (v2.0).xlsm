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workbookProtection workbookPassword="ED00" lockStructure="1"/>
  <bookViews>
    <workbookView showSheetTabs="0" xWindow="480" yWindow="105" windowWidth="11355" windowHeight="8385" activeTab="3"/>
  </bookViews>
  <sheets>
    <sheet name="Report1" sheetId="10" r:id="rId1"/>
    <sheet name="Equations" sheetId="9" r:id="rId2"/>
    <sheet name="Instructions" sheetId="8" r:id="rId3"/>
    <sheet name="TowerCycles" sheetId="3" r:id="rId4"/>
  </sheets>
  <definedNames>
    <definedName name="NameCity">TowerCycles!$W$28</definedName>
    <definedName name="NameCompany">TowerCycles!$W$26</definedName>
    <definedName name="NameCopiesTo">TowerCycles!$W$34</definedName>
    <definedName name="NameDate">TowerCycles!$W$32</definedName>
    <definedName name="NamePlant">TowerCycles!$W$27</definedName>
    <definedName name="NamePreparedBy">TowerCycles!$W$33</definedName>
    <definedName name="NameShipTo">TowerCycles!$W$30</definedName>
    <definedName name="NameSoldTo">TowerCycles!$W$31</definedName>
    <definedName name="NameState">TowerCycles!$W$29</definedName>
    <definedName name="_xlnm.Print_Area" localSheetId="0">Report1!$A$6:$AB$76</definedName>
    <definedName name="_xlnm.Print_Area" localSheetId="3">TowerCycles!$C$23:$AA$84</definedName>
    <definedName name="PrintArea_Report">Report1!$C$7:$AA$74</definedName>
    <definedName name="PrintTCO_Area">TowerCycles!$A$1:$AC$83</definedName>
  </definedNames>
  <calcPr calcId="162913"/>
</workbook>
</file>

<file path=xl/calcChain.xml><?xml version="1.0" encoding="utf-8"?>
<calcChain xmlns="http://schemas.openxmlformats.org/spreadsheetml/2006/main">
  <c r="G68" i="10" l="1"/>
  <c r="G70" i="10" s="1"/>
  <c r="S31" i="10"/>
  <c r="L31" i="10"/>
  <c r="F31" i="10"/>
  <c r="S29" i="10"/>
  <c r="L29" i="10"/>
  <c r="F29" i="10"/>
  <c r="L40" i="3" l="1"/>
  <c r="L42" i="3" s="1"/>
  <c r="L41" i="3" l="1"/>
  <c r="L45" i="3" s="1"/>
  <c r="E76" i="3" s="1"/>
  <c r="S83" i="3"/>
  <c r="G83" i="3"/>
  <c r="G67" i="3"/>
  <c r="O59" i="3" l="1"/>
  <c r="L59" i="3"/>
  <c r="S58" i="3"/>
  <c r="S57" i="3"/>
  <c r="S56" i="3"/>
  <c r="S55" i="3"/>
  <c r="S54" i="3"/>
  <c r="S59" i="3" l="1"/>
  <c r="Z15" i="10" s="1"/>
  <c r="O40" i="3"/>
  <c r="O41" i="3"/>
  <c r="O49" i="3" s="1"/>
  <c r="AB59" i="3" l="1"/>
  <c r="S67" i="3"/>
  <c r="O42" i="3"/>
  <c r="L49" i="3"/>
  <c r="Q17" i="3" l="1"/>
  <c r="X16" i="3"/>
  <c r="R16" i="3"/>
  <c r="W14" i="3"/>
  <c r="Q14" i="3"/>
  <c r="O39" i="3" l="1"/>
  <c r="L39" i="3"/>
  <c r="L50" i="3" s="1"/>
  <c r="O50" i="3" l="1"/>
  <c r="L46" i="3"/>
  <c r="M78" i="3" s="1"/>
  <c r="O46" i="3" l="1"/>
  <c r="Y78" i="3" s="1"/>
  <c r="S50" i="3"/>
  <c r="K17" i="3" s="1"/>
  <c r="K26" i="10" s="1"/>
  <c r="O45" i="3"/>
  <c r="Q76" i="3" s="1"/>
  <c r="S49" i="3"/>
  <c r="E17" i="3" s="1"/>
  <c r="D26" i="10" s="1"/>
  <c r="S46" i="3" l="1"/>
  <c r="K14" i="3" s="1"/>
  <c r="K23" i="10" s="1"/>
  <c r="Z16" i="10"/>
  <c r="Z13" i="10"/>
  <c r="S45" i="3"/>
  <c r="E14" i="3" s="1"/>
  <c r="D23" i="10" s="1"/>
  <c r="S63" i="3" l="1"/>
  <c r="AB46" i="3"/>
  <c r="L16" i="3" s="1"/>
  <c r="K25" i="10" s="1"/>
  <c r="AB45" i="3"/>
  <c r="F16" i="3" s="1"/>
  <c r="E25" i="10" s="1"/>
  <c r="S62" i="3"/>
  <c r="S51" i="3" l="1"/>
  <c r="AB49" i="3" l="1"/>
  <c r="AB50" i="3"/>
</calcChain>
</file>

<file path=xl/sharedStrings.xml><?xml version="1.0" encoding="utf-8"?>
<sst xmlns="http://schemas.openxmlformats.org/spreadsheetml/2006/main" count="135" uniqueCount="109">
  <si>
    <t>Cycles of Concentration</t>
  </si>
  <si>
    <t>Blowdown</t>
  </si>
  <si>
    <t>Make-up Water Cost</t>
  </si>
  <si>
    <t>Discharge Water Cost</t>
  </si>
  <si>
    <t>Value</t>
  </si>
  <si>
    <t>Saved</t>
  </si>
  <si>
    <t>Energy</t>
  </si>
  <si>
    <t>Data Input</t>
  </si>
  <si>
    <t>Parameters</t>
  </si>
  <si>
    <t>Company:</t>
  </si>
  <si>
    <t>Plant:</t>
  </si>
  <si>
    <t>City:</t>
  </si>
  <si>
    <t>State:</t>
  </si>
  <si>
    <t>Ship to:</t>
  </si>
  <si>
    <t>Date:</t>
  </si>
  <si>
    <t>2/5/2016</t>
  </si>
  <si>
    <t>Prepared by:</t>
  </si>
  <si>
    <t>Copies to:</t>
  </si>
  <si>
    <t>Unit</t>
  </si>
  <si>
    <t>Current State</t>
  </si>
  <si>
    <t>Make-up</t>
  </si>
  <si>
    <t>($/1000 gal)</t>
  </si>
  <si>
    <t>(gpd)</t>
  </si>
  <si>
    <t>($/yr)</t>
  </si>
  <si>
    <t>RESULTS - Added Value</t>
  </si>
  <si>
    <t>Evaporation Rate</t>
  </si>
  <si>
    <t>Drift Rate</t>
  </si>
  <si>
    <t>Delta Temperature</t>
  </si>
  <si>
    <t>Evaporation Factor</t>
  </si>
  <si>
    <t>Evaporation Credit in Use?</t>
  </si>
  <si>
    <t>Evap. Credit Available?</t>
  </si>
  <si>
    <t>Recirculation Rate ®</t>
  </si>
  <si>
    <t>(F)</t>
  </si>
  <si>
    <t>(%R)</t>
  </si>
  <si>
    <t>(gpm)</t>
  </si>
  <si>
    <t>Operating Hours Per Day</t>
  </si>
  <si>
    <t>Operating Days Per Year</t>
  </si>
  <si>
    <t>(hr/day)</t>
  </si>
  <si>
    <t>(day/yr)</t>
  </si>
  <si>
    <t>Blowdown Water Cost</t>
  </si>
  <si>
    <t>Cooling Tower</t>
  </si>
  <si>
    <t>(gal/yr)</t>
  </si>
  <si>
    <t>Water Costs &amp; Savings</t>
  </si>
  <si>
    <t>NET WATER SAVINGS</t>
  </si>
  <si>
    <t>NET WASTE Reduction</t>
  </si>
  <si>
    <t>Air</t>
  </si>
  <si>
    <t>Make-up Water</t>
  </si>
  <si>
    <t>Discharge Water</t>
  </si>
  <si>
    <t>(Gal/Yr)</t>
  </si>
  <si>
    <t xml:space="preserve">Reduced </t>
  </si>
  <si>
    <t>Reduced</t>
  </si>
  <si>
    <t xml:space="preserve">GAL / YEAR    </t>
  </si>
  <si>
    <t xml:space="preserve">Tons CO2         </t>
  </si>
  <si>
    <t>USD / YEAR</t>
  </si>
  <si>
    <t>Customer Information</t>
  </si>
  <si>
    <t>Current State vs. Proposed State</t>
  </si>
  <si>
    <t>Copies To:</t>
  </si>
  <si>
    <t>water</t>
  </si>
  <si>
    <t>waste</t>
  </si>
  <si>
    <t xml:space="preserve">MMBTU/YEAR      </t>
  </si>
  <si>
    <t>Incremental Savings (-) Incremental Amount Spent</t>
  </si>
  <si>
    <t xml:space="preserve">                     Incremental Amount Spent</t>
  </si>
  <si>
    <t>To calculate % ROI, multiply the ROI Ratio by 100</t>
  </si>
  <si>
    <t>Other Potential Savings</t>
  </si>
  <si>
    <t>Savings</t>
  </si>
  <si>
    <t>Chemical Treatment</t>
  </si>
  <si>
    <t xml:space="preserve">Labor </t>
  </si>
  <si>
    <t>Maintenance</t>
  </si>
  <si>
    <t xml:space="preserve">Production </t>
  </si>
  <si>
    <t xml:space="preserve">Miscellaneous </t>
  </si>
  <si>
    <t>Current Cost</t>
  </si>
  <si>
    <t>Proposed Cost</t>
  </si>
  <si>
    <t>TOTAL (Other Potential Savings)</t>
  </si>
  <si>
    <r>
      <t>TOTAL</t>
    </r>
    <r>
      <rPr>
        <i/>
        <sz val="11"/>
        <rFont val="Arial"/>
        <family val="2"/>
      </rPr>
      <t xml:space="preserve"> (Proposed Savings)</t>
    </r>
  </si>
  <si>
    <r>
      <rPr>
        <b/>
        <sz val="12"/>
        <color theme="0"/>
        <rFont val="Arial"/>
        <family val="2"/>
      </rPr>
      <t>Proposed State</t>
    </r>
    <r>
      <rPr>
        <b/>
        <sz val="11"/>
        <color theme="0"/>
        <rFont val="Arial"/>
        <family val="2"/>
      </rPr>
      <t xml:space="preserve">
</t>
    </r>
    <r>
      <rPr>
        <i/>
        <sz val="10"/>
        <color theme="0"/>
        <rFont val="Arial"/>
        <family val="2"/>
      </rPr>
      <t>("What If" Analysis)</t>
    </r>
  </si>
  <si>
    <r>
      <rPr>
        <b/>
        <sz val="12"/>
        <color theme="0"/>
        <rFont val="Arial"/>
        <family val="2"/>
      </rPr>
      <t>Savings</t>
    </r>
    <r>
      <rPr>
        <b/>
        <sz val="11"/>
        <color theme="0"/>
        <rFont val="Arial"/>
        <family val="2"/>
      </rPr>
      <t xml:space="preserve">
</t>
    </r>
    <r>
      <rPr>
        <i/>
        <sz val="10"/>
        <color theme="0"/>
        <rFont val="Arial"/>
        <family val="2"/>
      </rPr>
      <t>(Current vs Proposed)</t>
    </r>
  </si>
  <si>
    <t>Annualized Change</t>
  </si>
  <si>
    <t>Sold to:</t>
  </si>
  <si>
    <t>eROI SAVINGS</t>
  </si>
  <si>
    <t>OTHER SAVINGS</t>
  </si>
  <si>
    <r>
      <rPr>
        <b/>
        <sz val="8"/>
        <rFont val="Arial Narrow"/>
        <family val="2"/>
      </rPr>
      <t xml:space="preserve">CURRENT </t>
    </r>
    <r>
      <rPr>
        <sz val="8"/>
        <rFont val="Arial Narrow"/>
        <family val="2"/>
      </rPr>
      <t xml:space="preserve">
PROGRAM PRICE</t>
    </r>
  </si>
  <si>
    <r>
      <rPr>
        <b/>
        <sz val="8"/>
        <color rgb="FF007AC9"/>
        <rFont val="Arial Narrow"/>
        <family val="2"/>
      </rPr>
      <t xml:space="preserve">ADDITIONAL </t>
    </r>
    <r>
      <rPr>
        <sz val="8"/>
        <color rgb="FF007AC9"/>
        <rFont val="Arial Narrow"/>
        <family val="2"/>
      </rPr>
      <t xml:space="preserve">
PROGRAM PRICE</t>
    </r>
  </si>
  <si>
    <t>Customer:</t>
  </si>
  <si>
    <t>Sold To:</t>
  </si>
  <si>
    <t>Ship To:</t>
  </si>
  <si>
    <t>Prepared By:</t>
  </si>
  <si>
    <t>Current Situation</t>
  </si>
  <si>
    <t>Actions Needed</t>
  </si>
  <si>
    <t>Customer's Signature:</t>
  </si>
  <si>
    <t>Sales Rep's Signature:</t>
  </si>
  <si>
    <t>Address</t>
  </si>
  <si>
    <t>City</t>
  </si>
  <si>
    <t>State</t>
  </si>
  <si>
    <t>1000000</t>
  </si>
  <si>
    <t>Rep Name</t>
  </si>
  <si>
    <t>Mr Customer</t>
  </si>
  <si>
    <t>Customer Name</t>
  </si>
  <si>
    <t>Aqua Bob TDS controller</t>
  </si>
  <si>
    <t>Nalco 3DT Nex Gen Control System</t>
  </si>
  <si>
    <r>
      <rPr>
        <b/>
        <sz val="16"/>
        <color theme="0" tint="-0.499984740745262"/>
        <rFont val="Arial Narrow"/>
        <family val="2"/>
      </rPr>
      <t xml:space="preserve">CURRENT </t>
    </r>
    <r>
      <rPr>
        <sz val="16"/>
        <color theme="0" tint="-0.499984740745262"/>
        <rFont val="Arial Narrow"/>
        <family val="2"/>
      </rPr>
      <t>PROGRAM</t>
    </r>
  </si>
  <si>
    <r>
      <rPr>
        <b/>
        <sz val="16"/>
        <color rgb="FF007AC9"/>
        <rFont val="Arial Narrow"/>
        <family val="2"/>
      </rPr>
      <t>PROPOSED</t>
    </r>
    <r>
      <rPr>
        <sz val="16"/>
        <color rgb="FF007AC9"/>
        <rFont val="Arial Narrow"/>
        <family val="2"/>
      </rPr>
      <t xml:space="preserve"> PROGRAM</t>
    </r>
  </si>
  <si>
    <t>ANNUAL 
SAVINGS</t>
  </si>
  <si>
    <t>Your</t>
  </si>
  <si>
    <t>eROI Value</t>
  </si>
  <si>
    <t>Snapshot</t>
  </si>
  <si>
    <t xml:space="preserve">ROI Ratio      =   </t>
  </si>
  <si>
    <t xml:space="preserve">% ROI       =   </t>
  </si>
  <si>
    <t>Location: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</si>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</sst>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.00"/>
    <numFmt numFmtId="166" formatCode="&quot;$&quot;#,##0"/>
    <numFmt numFmtId="167" formatCode="_(&quot;$&quot;* #,##0_);_(&quot;$&quot;* \(#,##0\);_(&quot;$&quot;* &quot;-&quot;??_);_(@_)"/>
    <numFmt numFmtId="168" formatCode="_(&quot;$&quot;* #,##0.00000_);_(&quot;$&quot;* \(#,##0.00000\);_(&quot;$&quot;* &quot;-&quot;??_);_(@_)"/>
    <numFmt numFmtId="169" formatCode="#,##0.0"/>
    <numFmt numFmtId="170" formatCode="0.0%"/>
    <numFmt numFmtId="171" formatCode="0.0"/>
  </numFmts>
  <fonts count="7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9"/>
      <color theme="0" tint="-0.499984740745262"/>
      <name val="Arial"/>
      <family val="2"/>
    </font>
    <font>
      <b/>
      <sz val="14"/>
      <color theme="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</font>
    <font>
      <b/>
      <sz val="10"/>
      <color rgb="FF0070C0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color theme="0"/>
      <name val="Arial"/>
      <family val="2"/>
    </font>
    <font>
      <b/>
      <sz val="24"/>
      <color theme="0"/>
      <name val="Arial"/>
      <family val="2"/>
    </font>
    <font>
      <b/>
      <sz val="16"/>
      <color rgb="FF007AC9"/>
      <name val="Arial"/>
      <family val="2"/>
    </font>
    <font>
      <sz val="9"/>
      <color rgb="FF616365"/>
      <name val="Arial Narrow"/>
      <family val="2"/>
    </font>
    <font>
      <b/>
      <sz val="11"/>
      <name val="Arial"/>
      <family val="2"/>
    </font>
    <font>
      <b/>
      <sz val="11"/>
      <color theme="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sz val="11"/>
      <color rgb="FF616365"/>
      <name val="Arial Narrow"/>
      <family val="2"/>
    </font>
    <font>
      <i/>
      <sz val="11"/>
      <name val="Arial"/>
      <family val="2"/>
    </font>
    <font>
      <b/>
      <i/>
      <sz val="11"/>
      <name val="Arial"/>
      <family val="2"/>
    </font>
    <font>
      <b/>
      <sz val="12"/>
      <name val="Arial Narrow"/>
      <family val="2"/>
    </font>
    <font>
      <b/>
      <i/>
      <sz val="12"/>
      <color theme="0"/>
      <name val="Arial"/>
      <family val="2"/>
    </font>
    <font>
      <i/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333333"/>
      <name val="Verdana"/>
      <family val="2"/>
    </font>
    <font>
      <sz val="10"/>
      <name val="Arial Narrow"/>
      <family val="2"/>
    </font>
    <font>
      <b/>
      <sz val="13"/>
      <name val="Arial Narrow"/>
      <family val="2"/>
    </font>
    <font>
      <sz val="16"/>
      <color theme="0"/>
      <name val="Arial Narrow"/>
      <family val="2"/>
    </font>
    <font>
      <b/>
      <sz val="19"/>
      <color theme="0"/>
      <name val="Arial Narrow"/>
      <family val="2"/>
    </font>
    <font>
      <b/>
      <sz val="16"/>
      <color theme="0"/>
      <name val="Arial Narrow"/>
      <family val="2"/>
    </font>
    <font>
      <sz val="12"/>
      <name val="Arial Narrow"/>
      <family val="2"/>
    </font>
    <font>
      <sz val="12"/>
      <color theme="0"/>
      <name val="Arial Narrow"/>
      <family val="2"/>
    </font>
    <font>
      <b/>
      <sz val="12"/>
      <color rgb="FF007AC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sz val="14"/>
      <name val="Arial Narrow"/>
      <family val="2"/>
    </font>
    <font>
      <sz val="8"/>
      <color rgb="FF007AC9"/>
      <name val="Arial Narrow"/>
      <family val="2"/>
    </font>
    <font>
      <b/>
      <sz val="8"/>
      <color rgb="FF007AC9"/>
      <name val="Arial Narrow"/>
      <family val="2"/>
    </font>
    <font>
      <b/>
      <sz val="16"/>
      <color rgb="FF007AC9"/>
      <name val="Arial Narrow"/>
      <family val="2"/>
    </font>
    <font>
      <b/>
      <sz val="18"/>
      <color theme="0"/>
      <name val="Arial Narrow"/>
      <family val="2"/>
    </font>
    <font>
      <i/>
      <sz val="8"/>
      <name val="Arial Narrow"/>
      <family val="2"/>
    </font>
    <font>
      <b/>
      <sz val="10"/>
      <name val="Arial Narrow"/>
      <family val="2"/>
    </font>
    <font>
      <u/>
      <sz val="11"/>
      <name val="Arial Narrow"/>
      <family val="2"/>
    </font>
    <font>
      <sz val="9"/>
      <name val="Arial Narrow"/>
      <family val="2"/>
    </font>
    <font>
      <sz val="11"/>
      <name val="Arial Narrow"/>
      <family val="2"/>
    </font>
    <font>
      <b/>
      <sz val="11"/>
      <name val="Arial Narrow"/>
      <family val="2"/>
    </font>
    <font>
      <sz val="10"/>
      <color theme="0"/>
      <name val="Arial Narrow"/>
      <family val="2"/>
    </font>
    <font>
      <sz val="9"/>
      <color theme="0"/>
      <name val="Arial Narrow"/>
      <family val="2"/>
    </font>
    <font>
      <sz val="11"/>
      <color theme="0"/>
      <name val="Arial Narrow"/>
      <family val="2"/>
    </font>
    <font>
      <b/>
      <sz val="26"/>
      <color theme="0"/>
      <name val="Arial Narrow"/>
      <family val="2"/>
    </font>
    <font>
      <sz val="26"/>
      <name val="Arial Narrow"/>
      <family val="2"/>
    </font>
    <font>
      <b/>
      <sz val="24"/>
      <color theme="0"/>
      <name val="Arial Narrow"/>
      <family val="2"/>
    </font>
    <font>
      <sz val="10.5"/>
      <name val="Arial Narrow"/>
      <family val="2"/>
    </font>
    <font>
      <b/>
      <sz val="10.5"/>
      <name val="Arial Narrow"/>
      <family val="2"/>
    </font>
    <font>
      <i/>
      <sz val="10.5"/>
      <name val="Arial Narrow"/>
      <family val="2"/>
    </font>
    <font>
      <sz val="16"/>
      <color theme="0" tint="-0.499984740745262"/>
      <name val="Arial Narrow"/>
      <family val="2"/>
    </font>
    <font>
      <b/>
      <sz val="16"/>
      <color theme="0" tint="-0.499984740745262"/>
      <name val="Arial Narrow"/>
      <family val="2"/>
    </font>
    <font>
      <b/>
      <sz val="14"/>
      <name val="Arial Narrow"/>
      <family val="2"/>
    </font>
    <font>
      <sz val="16"/>
      <color rgb="FF007AC9"/>
      <name val="Arial Narrow"/>
      <family val="2"/>
    </font>
    <font>
      <b/>
      <sz val="18"/>
      <name val="Arial Narrow"/>
      <family val="2"/>
    </font>
    <font>
      <b/>
      <sz val="14"/>
      <color theme="0"/>
      <name val="Arial Narrow"/>
      <family val="2"/>
    </font>
    <font>
      <b/>
      <sz val="25"/>
      <color rgb="FF007AC9"/>
      <name val="Arial Narrow"/>
      <family val="2"/>
    </font>
    <font>
      <sz val="16"/>
      <color rgb="FF616365"/>
      <name val="Arial Narrow"/>
      <family val="2"/>
    </font>
    <font>
      <b/>
      <sz val="14"/>
      <color rgb="FF007AC9"/>
      <name val="Arial Narrow"/>
      <family val="2"/>
    </font>
    <font>
      <b/>
      <sz val="36"/>
      <color theme="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rgb="FF007AC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BEDEF"/>
        <bgColor indexed="64"/>
      </patternFill>
    </fill>
    <fill>
      <patternFill patternType="solid">
        <fgColor rgb="FF616365"/>
        <bgColor indexed="64"/>
      </patternFill>
    </fill>
    <fill>
      <patternFill patternType="solid">
        <fgColor rgb="FFADAFAF"/>
        <bgColor indexed="64"/>
      </patternFill>
    </fill>
    <fill>
      <patternFill patternType="solid">
        <fgColor rgb="FF8A92A0"/>
        <bgColor indexed="64"/>
      </patternFill>
    </fill>
    <fill>
      <patternFill patternType="solid">
        <fgColor rgb="FFC1C7CE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DAFAF"/>
      </left>
      <right/>
      <top style="thin">
        <color rgb="FFADAFAF"/>
      </top>
      <bottom/>
      <diagonal/>
    </border>
    <border>
      <left/>
      <right/>
      <top style="thin">
        <color rgb="FFADAFAF"/>
      </top>
      <bottom/>
      <diagonal/>
    </border>
    <border>
      <left/>
      <right style="thin">
        <color rgb="FFADAFAF"/>
      </right>
      <top style="thin">
        <color rgb="FFADAFAF"/>
      </top>
      <bottom/>
      <diagonal/>
    </border>
    <border>
      <left style="thin">
        <color rgb="FFADAFAF"/>
      </left>
      <right/>
      <top/>
      <bottom/>
      <diagonal/>
    </border>
    <border>
      <left/>
      <right style="thin">
        <color rgb="FFADAFAF"/>
      </right>
      <top/>
      <bottom/>
      <diagonal/>
    </border>
    <border>
      <left style="thin">
        <color rgb="FFADAFAF"/>
      </left>
      <right/>
      <top/>
      <bottom style="thin">
        <color rgb="FFADAFAF"/>
      </bottom>
      <diagonal/>
    </border>
    <border>
      <left/>
      <right/>
      <top/>
      <bottom style="thin">
        <color rgb="FFADAFAF"/>
      </bottom>
      <diagonal/>
    </border>
    <border>
      <left/>
      <right style="thin">
        <color rgb="FFADAFAF"/>
      </right>
      <top/>
      <bottom style="thin">
        <color rgb="FFADAFA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7AC9"/>
      </left>
      <right/>
      <top style="thin">
        <color rgb="FF007AC9"/>
      </top>
      <bottom/>
      <diagonal/>
    </border>
    <border>
      <left/>
      <right/>
      <top style="thin">
        <color rgb="FF007AC9"/>
      </top>
      <bottom/>
      <diagonal/>
    </border>
    <border>
      <left/>
      <right style="thin">
        <color rgb="FF007AC9"/>
      </right>
      <top style="thin">
        <color rgb="FF007AC9"/>
      </top>
      <bottom/>
      <diagonal/>
    </border>
    <border>
      <left style="thin">
        <color rgb="FF007AC9"/>
      </left>
      <right/>
      <top/>
      <bottom/>
      <diagonal/>
    </border>
    <border>
      <left/>
      <right style="thin">
        <color rgb="FF007AC9"/>
      </right>
      <top/>
      <bottom/>
      <diagonal/>
    </border>
    <border>
      <left/>
      <right style="thin">
        <color rgb="FF007AC9"/>
      </right>
      <top/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thin">
        <color rgb="FFADAFAF"/>
      </top>
      <bottom style="thin">
        <color rgb="FFADAFAF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</borders>
  <cellStyleXfs count="37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6" borderId="0" applyNumberFormat="0" applyFon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8" fillId="7" borderId="0" applyNumberFormat="0" applyFont="0" applyBorder="0" applyAlignment="0" applyProtection="0">
      <protection hidden="1"/>
    </xf>
    <xf numFmtId="0" fontId="58" fillId="3" borderId="0" applyNumberFormat="0" applyFont="0" applyBorder="0" applyAlignment="0" applyProtection="0">
      <protection hidden="1"/>
    </xf>
  </cellStyleXfs>
  <cellXfs count="408">
    <xf numFmtId="0" fontId="0" fillId="0" borderId="0" xfId="0"/>
    <xf numFmtId="0" fontId="0" fillId="0" borderId="0" xfId="0" applyBorder="1"/>
    <xf numFmtId="0" fontId="4" fillId="0" borderId="0" xfId="0" applyFont="1" applyBorder="1"/>
    <xf numFmtId="0" fontId="0" fillId="0" borderId="11" xfId="0" applyBorder="1"/>
    <xf numFmtId="0" fontId="0" fillId="0" borderId="12" xfId="0" applyBorder="1"/>
    <xf numFmtId="0" fontId="9" fillId="3" borderId="0" xfId="0" applyFont="1" applyFill="1" applyBorder="1" applyAlignment="1"/>
    <xf numFmtId="0" fontId="10" fillId="4" borderId="0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16" xfId="0" applyBorder="1"/>
    <xf numFmtId="0" fontId="0" fillId="0" borderId="17" xfId="0" applyBorder="1"/>
    <xf numFmtId="0" fontId="0" fillId="0" borderId="13" xfId="0" applyBorder="1"/>
    <xf numFmtId="0" fontId="0" fillId="0" borderId="14" xfId="0" applyBorder="1"/>
    <xf numFmtId="0" fontId="4" fillId="0" borderId="14" xfId="0" applyFont="1" applyBorder="1"/>
    <xf numFmtId="0" fontId="4" fillId="0" borderId="0" xfId="7"/>
    <xf numFmtId="0" fontId="4" fillId="3" borderId="0" xfId="7" applyFill="1"/>
    <xf numFmtId="0" fontId="9" fillId="3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5" fillId="5" borderId="20" xfId="0" applyFont="1" applyFill="1" applyBorder="1"/>
    <xf numFmtId="0" fontId="5" fillId="5" borderId="21" xfId="0" applyFont="1" applyFill="1" applyBorder="1" applyAlignment="1"/>
    <xf numFmtId="0" fontId="5" fillId="5" borderId="22" xfId="0" applyFont="1" applyFill="1" applyBorder="1"/>
    <xf numFmtId="0" fontId="5" fillId="5" borderId="20" xfId="0" applyFont="1" applyFill="1" applyBorder="1" applyAlignment="1"/>
    <xf numFmtId="0" fontId="5" fillId="5" borderId="22" xfId="0" applyFont="1" applyFill="1" applyBorder="1" applyAlignment="1"/>
    <xf numFmtId="0" fontId="5" fillId="5" borderId="23" xfId="0" applyFont="1" applyFill="1" applyBorder="1"/>
    <xf numFmtId="0" fontId="5" fillId="5" borderId="0" xfId="0" applyFont="1" applyFill="1" applyBorder="1" applyAlignment="1"/>
    <xf numFmtId="0" fontId="5" fillId="5" borderId="0" xfId="0" applyFont="1" applyFill="1" applyBorder="1" applyAlignment="1">
      <alignment horizontal="right"/>
    </xf>
    <xf numFmtId="0" fontId="17" fillId="5" borderId="0" xfId="0" applyFont="1" applyFill="1" applyBorder="1" applyAlignment="1"/>
    <xf numFmtId="0" fontId="5" fillId="5" borderId="24" xfId="0" applyFont="1" applyFill="1" applyBorder="1"/>
    <xf numFmtId="0" fontId="5" fillId="5" borderId="23" xfId="0" applyFont="1" applyFill="1" applyBorder="1" applyAlignment="1"/>
    <xf numFmtId="0" fontId="5" fillId="5" borderId="24" xfId="0" applyFont="1" applyFill="1" applyBorder="1" applyAlignment="1"/>
    <xf numFmtId="6" fontId="18" fillId="7" borderId="0" xfId="0" applyNumberFormat="1" applyFont="1" applyFill="1" applyBorder="1"/>
    <xf numFmtId="0" fontId="18" fillId="7" borderId="0" xfId="0" applyFont="1" applyFill="1" applyBorder="1" applyAlignment="1">
      <alignment horizontal="right"/>
    </xf>
    <xf numFmtId="1" fontId="18" fillId="7" borderId="0" xfId="0" quotePrefix="1" applyNumberFormat="1" applyFont="1" applyFill="1" applyBorder="1"/>
    <xf numFmtId="0" fontId="5" fillId="0" borderId="0" xfId="0" applyFont="1" applyFill="1" applyBorder="1"/>
    <xf numFmtId="0" fontId="5" fillId="3" borderId="0" xfId="0" applyFont="1" applyFill="1" applyBorder="1"/>
    <xf numFmtId="0" fontId="5" fillId="5" borderId="24" xfId="0" applyFont="1" applyFill="1" applyBorder="1" applyAlignment="1">
      <alignment horizontal="left"/>
    </xf>
    <xf numFmtId="0" fontId="5" fillId="5" borderId="25" xfId="0" applyFont="1" applyFill="1" applyBorder="1"/>
    <xf numFmtId="0" fontId="5" fillId="5" borderId="27" xfId="0" applyFont="1" applyFill="1" applyBorder="1"/>
    <xf numFmtId="0" fontId="9" fillId="3" borderId="9" xfId="0" applyFont="1" applyFill="1" applyBorder="1" applyAlignment="1"/>
    <xf numFmtId="0" fontId="9" fillId="3" borderId="9" xfId="0" applyFont="1" applyFill="1" applyBorder="1" applyAlignment="1">
      <alignment horizontal="center"/>
    </xf>
    <xf numFmtId="0" fontId="9" fillId="3" borderId="5" xfId="0" applyFont="1" applyFill="1" applyBorder="1" applyAlignment="1"/>
    <xf numFmtId="0" fontId="9" fillId="3" borderId="13" xfId="0" applyFont="1" applyFill="1" applyBorder="1" applyAlignment="1"/>
    <xf numFmtId="0" fontId="9" fillId="3" borderId="14" xfId="0" applyFont="1" applyFill="1" applyBorder="1" applyAlignment="1"/>
    <xf numFmtId="0" fontId="9" fillId="3" borderId="15" xfId="0" applyFont="1" applyFill="1" applyBorder="1" applyAlignment="1"/>
    <xf numFmtId="0" fontId="12" fillId="0" borderId="11" xfId="0" applyFont="1" applyBorder="1"/>
    <xf numFmtId="0" fontId="12" fillId="0" borderId="0" xfId="0" applyFont="1" applyBorder="1"/>
    <xf numFmtId="0" fontId="12" fillId="0" borderId="12" xfId="0" applyFont="1" applyBorder="1"/>
    <xf numFmtId="0" fontId="12" fillId="0" borderId="0" xfId="0" applyFont="1"/>
    <xf numFmtId="0" fontId="4" fillId="0" borderId="0" xfId="0" applyFont="1"/>
    <xf numFmtId="0" fontId="4" fillId="0" borderId="11" xfId="0" applyFont="1" applyBorder="1"/>
    <xf numFmtId="0" fontId="4" fillId="0" borderId="12" xfId="0" applyFont="1" applyBorder="1"/>
    <xf numFmtId="0" fontId="23" fillId="3" borderId="5" xfId="0" applyFont="1" applyFill="1" applyBorder="1" applyAlignment="1">
      <alignment vertical="center"/>
    </xf>
    <xf numFmtId="0" fontId="23" fillId="3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horizontal="left" vertical="center"/>
    </xf>
    <xf numFmtId="10" fontId="4" fillId="0" borderId="0" xfId="0" applyNumberFormat="1" applyFont="1"/>
    <xf numFmtId="0" fontId="24" fillId="0" borderId="11" xfId="0" applyFont="1" applyBorder="1"/>
    <xf numFmtId="0" fontId="24" fillId="0" borderId="0" xfId="0" applyFont="1" applyBorder="1"/>
    <xf numFmtId="0" fontId="24" fillId="0" borderId="12" xfId="0" applyFont="1" applyBorder="1"/>
    <xf numFmtId="0" fontId="24" fillId="0" borderId="0" xfId="0" applyFont="1"/>
    <xf numFmtId="167" fontId="4" fillId="4" borderId="14" xfId="0" applyNumberFormat="1" applyFont="1" applyFill="1" applyBorder="1" applyAlignment="1">
      <alignment vertical="center"/>
    </xf>
    <xf numFmtId="0" fontId="8" fillId="4" borderId="0" xfId="0" applyFont="1" applyFill="1" applyBorder="1" applyAlignment="1">
      <alignment vertical="center"/>
    </xf>
    <xf numFmtId="0" fontId="8" fillId="4" borderId="14" xfId="0" applyFont="1" applyFill="1" applyBorder="1" applyAlignment="1">
      <alignment vertical="center"/>
    </xf>
    <xf numFmtId="0" fontId="8" fillId="4" borderId="15" xfId="0" applyFont="1" applyFill="1" applyBorder="1" applyAlignment="1">
      <alignment vertical="center"/>
    </xf>
    <xf numFmtId="0" fontId="8" fillId="0" borderId="11" xfId="0" applyFont="1" applyBorder="1"/>
    <xf numFmtId="0" fontId="8" fillId="0" borderId="0" xfId="0" applyFont="1" applyBorder="1"/>
    <xf numFmtId="0" fontId="8" fillId="0" borderId="0" xfId="0" applyFont="1"/>
    <xf numFmtId="0" fontId="26" fillId="0" borderId="0" xfId="0" applyFont="1" applyBorder="1"/>
    <xf numFmtId="9" fontId="26" fillId="0" borderId="0" xfId="3" applyFont="1" applyBorder="1"/>
    <xf numFmtId="10" fontId="26" fillId="0" borderId="0" xfId="0" applyNumberFormat="1" applyFont="1" applyFill="1" applyBorder="1"/>
    <xf numFmtId="0" fontId="27" fillId="5" borderId="23" xfId="0" applyFont="1" applyFill="1" applyBorder="1"/>
    <xf numFmtId="1" fontId="18" fillId="7" borderId="0" xfId="0" applyNumberFormat="1" applyFont="1" applyFill="1" applyBorder="1"/>
    <xf numFmtId="0" fontId="18" fillId="7" borderId="0" xfId="0" applyFont="1" applyFill="1" applyBorder="1"/>
    <xf numFmtId="0" fontId="27" fillId="5" borderId="24" xfId="0" applyFont="1" applyFill="1" applyBorder="1"/>
    <xf numFmtId="3" fontId="18" fillId="7" borderId="0" xfId="0" applyNumberFormat="1" applyFont="1" applyFill="1" applyBorder="1"/>
    <xf numFmtId="0" fontId="27" fillId="7" borderId="0" xfId="0" applyFont="1" applyFill="1" applyBorder="1"/>
    <xf numFmtId="0" fontId="26" fillId="0" borderId="0" xfId="0" applyFont="1"/>
    <xf numFmtId="0" fontId="0" fillId="3" borderId="0" xfId="0" applyFill="1" applyBorder="1"/>
    <xf numFmtId="3" fontId="22" fillId="4" borderId="32" xfId="0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wrapText="1"/>
    </xf>
    <xf numFmtId="0" fontId="4" fillId="0" borderId="0" xfId="0" applyFont="1" applyBorder="1" applyProtection="1">
      <protection hidden="1"/>
    </xf>
    <xf numFmtId="0" fontId="0" fillId="0" borderId="0" xfId="0" applyBorder="1" applyProtection="1">
      <protection hidden="1"/>
    </xf>
    <xf numFmtId="0" fontId="0" fillId="0" borderId="12" xfId="0" applyBorder="1" applyProtection="1">
      <protection hidden="1"/>
    </xf>
    <xf numFmtId="0" fontId="8" fillId="0" borderId="0" xfId="0" applyFont="1" applyBorder="1" applyProtection="1">
      <protection hidden="1"/>
    </xf>
    <xf numFmtId="0" fontId="8" fillId="0" borderId="12" xfId="0" applyFont="1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168" fontId="4" fillId="0" borderId="1" xfId="2" applyNumberFormat="1" applyFont="1" applyFill="1" applyBorder="1" applyAlignment="1" applyProtection="1">
      <alignment vertical="center"/>
      <protection hidden="1"/>
    </xf>
    <xf numFmtId="168" fontId="4" fillId="0" borderId="2" xfId="2" applyNumberFormat="1" applyFont="1" applyFill="1" applyBorder="1" applyAlignment="1" applyProtection="1">
      <alignment vertical="center"/>
      <protection hidden="1"/>
    </xf>
    <xf numFmtId="167" fontId="4" fillId="0" borderId="1" xfId="2" applyNumberFormat="1" applyFont="1" applyFill="1" applyBorder="1" applyAlignment="1" applyProtection="1">
      <alignment vertical="center"/>
      <protection hidden="1"/>
    </xf>
    <xf numFmtId="167" fontId="4" fillId="0" borderId="2" xfId="2" applyNumberFormat="1" applyFont="1" applyFill="1" applyBorder="1" applyAlignment="1" applyProtection="1">
      <alignment vertical="center"/>
      <protection hidden="1"/>
    </xf>
    <xf numFmtId="0" fontId="35" fillId="0" borderId="0" xfId="7" applyFont="1"/>
    <xf numFmtId="0" fontId="0" fillId="3" borderId="34" xfId="0" applyFill="1" applyBorder="1"/>
    <xf numFmtId="0" fontId="0" fillId="0" borderId="35" xfId="0" applyBorder="1"/>
    <xf numFmtId="0" fontId="0" fillId="3" borderId="36" xfId="0" applyFill="1" applyBorder="1"/>
    <xf numFmtId="0" fontId="0" fillId="3" borderId="37" xfId="0" applyFill="1" applyBorder="1"/>
    <xf numFmtId="0" fontId="0" fillId="3" borderId="38" xfId="0" applyFill="1" applyBorder="1"/>
    <xf numFmtId="0" fontId="5" fillId="6" borderId="0" xfId="0" applyFont="1" applyFill="1" applyBorder="1"/>
    <xf numFmtId="0" fontId="26" fillId="3" borderId="37" xfId="0" applyFont="1" applyFill="1" applyBorder="1"/>
    <xf numFmtId="0" fontId="27" fillId="6" borderId="0" xfId="0" applyFont="1" applyFill="1" applyBorder="1"/>
    <xf numFmtId="0" fontId="26" fillId="3" borderId="38" xfId="0" applyFont="1" applyFill="1" applyBorder="1"/>
    <xf numFmtId="0" fontId="4" fillId="3" borderId="37" xfId="0" applyFont="1" applyFill="1" applyBorder="1"/>
    <xf numFmtId="0" fontId="4" fillId="3" borderId="38" xfId="0" applyFont="1" applyFill="1" applyBorder="1"/>
    <xf numFmtId="0" fontId="24" fillId="3" borderId="37" xfId="0" applyFont="1" applyFill="1" applyBorder="1"/>
    <xf numFmtId="0" fontId="24" fillId="3" borderId="38" xfId="0" applyFont="1" applyFill="1" applyBorder="1"/>
    <xf numFmtId="0" fontId="12" fillId="3" borderId="37" xfId="0" applyFont="1" applyFill="1" applyBorder="1"/>
    <xf numFmtId="0" fontId="12" fillId="3" borderId="38" xfId="0" applyFont="1" applyFill="1" applyBorder="1"/>
    <xf numFmtId="0" fontId="8" fillId="3" borderId="37" xfId="0" applyFont="1" applyFill="1" applyBorder="1"/>
    <xf numFmtId="0" fontId="8" fillId="3" borderId="38" xfId="0" applyFont="1" applyFill="1" applyBorder="1"/>
    <xf numFmtId="0" fontId="0" fillId="3" borderId="39" xfId="0" applyFill="1" applyBorder="1"/>
    <xf numFmtId="0" fontId="36" fillId="0" borderId="7" xfId="7" applyFont="1" applyBorder="1"/>
    <xf numFmtId="0" fontId="36" fillId="3" borderId="0" xfId="7" applyFont="1" applyFill="1" applyBorder="1"/>
    <xf numFmtId="0" fontId="36" fillId="0" borderId="0" xfId="7" applyFont="1" applyBorder="1"/>
    <xf numFmtId="0" fontId="36" fillId="0" borderId="0" xfId="7" applyFont="1" applyBorder="1" applyProtection="1">
      <protection hidden="1"/>
    </xf>
    <xf numFmtId="0" fontId="38" fillId="8" borderId="0" xfId="7" applyFont="1" applyFill="1" applyBorder="1" applyAlignment="1" applyProtection="1">
      <alignment vertical="center" wrapText="1"/>
      <protection hidden="1"/>
    </xf>
    <xf numFmtId="0" fontId="40" fillId="8" borderId="0" xfId="7" applyFont="1" applyFill="1" applyBorder="1" applyAlignment="1" applyProtection="1">
      <alignment vertical="top" wrapText="1"/>
      <protection hidden="1"/>
    </xf>
    <xf numFmtId="0" fontId="38" fillId="6" borderId="0" xfId="7" applyFont="1" applyFill="1" applyBorder="1" applyAlignment="1" applyProtection="1">
      <alignment vertical="center"/>
      <protection hidden="1"/>
    </xf>
    <xf numFmtId="0" fontId="36" fillId="6" borderId="0" xfId="7" applyFont="1" applyFill="1" applyBorder="1" applyProtection="1">
      <protection hidden="1"/>
    </xf>
    <xf numFmtId="0" fontId="36" fillId="10" borderId="0" xfId="7" applyFont="1" applyFill="1" applyBorder="1" applyProtection="1">
      <protection hidden="1"/>
    </xf>
    <xf numFmtId="0" fontId="42" fillId="8" borderId="0" xfId="7" applyFont="1" applyFill="1" applyBorder="1" applyAlignment="1" applyProtection="1">
      <alignment vertical="center"/>
      <protection hidden="1"/>
    </xf>
    <xf numFmtId="0" fontId="41" fillId="6" borderId="0" xfId="7" applyFont="1" applyFill="1" applyBorder="1" applyProtection="1">
      <protection hidden="1"/>
    </xf>
    <xf numFmtId="0" fontId="38" fillId="8" borderId="0" xfId="7" applyFont="1" applyFill="1" applyBorder="1" applyAlignment="1" applyProtection="1">
      <alignment vertical="center"/>
      <protection hidden="1"/>
    </xf>
    <xf numFmtId="0" fontId="50" fillId="8" borderId="0" xfId="7" applyFont="1" applyFill="1" applyBorder="1" applyAlignment="1" applyProtection="1">
      <alignment vertical="top" wrapText="1"/>
      <protection hidden="1"/>
    </xf>
    <xf numFmtId="0" fontId="51" fillId="8" borderId="0" xfId="7" applyFont="1" applyFill="1" applyBorder="1" applyAlignment="1" applyProtection="1">
      <alignment vertical="center"/>
      <protection hidden="1"/>
    </xf>
    <xf numFmtId="0" fontId="52" fillId="8" borderId="0" xfId="7" applyFont="1" applyFill="1" applyBorder="1" applyAlignment="1" applyProtection="1">
      <alignment horizontal="left" vertical="center"/>
      <protection hidden="1"/>
    </xf>
    <xf numFmtId="0" fontId="53" fillId="8" borderId="0" xfId="7" applyFont="1" applyFill="1" applyBorder="1" applyAlignment="1" applyProtection="1">
      <alignment vertical="center"/>
      <protection locked="0" hidden="1"/>
    </xf>
    <xf numFmtId="0" fontId="36" fillId="8" borderId="0" xfId="7" applyFont="1" applyFill="1" applyBorder="1" applyProtection="1">
      <protection hidden="1"/>
    </xf>
    <xf numFmtId="0" fontId="36" fillId="9" borderId="0" xfId="7" applyFont="1" applyFill="1" applyBorder="1" applyProtection="1">
      <protection hidden="1"/>
    </xf>
    <xf numFmtId="0" fontId="54" fillId="6" borderId="0" xfId="7" applyFont="1" applyFill="1" applyBorder="1" applyProtection="1">
      <protection hidden="1"/>
    </xf>
    <xf numFmtId="0" fontId="36" fillId="5" borderId="21" xfId="7" applyFont="1" applyFill="1" applyBorder="1" applyAlignment="1" applyProtection="1">
      <protection hidden="1"/>
    </xf>
    <xf numFmtId="0" fontId="36" fillId="5" borderId="22" xfId="7" applyFont="1" applyFill="1" applyBorder="1" applyProtection="1">
      <protection hidden="1"/>
    </xf>
    <xf numFmtId="0" fontId="36" fillId="5" borderId="20" xfId="7" applyFont="1" applyFill="1" applyBorder="1" applyAlignment="1" applyProtection="1">
      <protection hidden="1"/>
    </xf>
    <xf numFmtId="0" fontId="36" fillId="5" borderId="0" xfId="7" applyFont="1" applyFill="1" applyBorder="1" applyAlignment="1" applyProtection="1">
      <protection hidden="1"/>
    </xf>
    <xf numFmtId="0" fontId="36" fillId="5" borderId="24" xfId="7" applyFont="1" applyFill="1" applyBorder="1" applyProtection="1">
      <protection hidden="1"/>
    </xf>
    <xf numFmtId="0" fontId="36" fillId="5" borderId="23" xfId="7" applyFont="1" applyFill="1" applyBorder="1" applyAlignment="1" applyProtection="1">
      <protection hidden="1"/>
    </xf>
    <xf numFmtId="0" fontId="58" fillId="5" borderId="23" xfId="7" applyFont="1" applyFill="1" applyBorder="1" applyProtection="1">
      <protection hidden="1"/>
    </xf>
    <xf numFmtId="0" fontId="59" fillId="5" borderId="24" xfId="7" applyFont="1" applyFill="1" applyBorder="1" applyAlignment="1" applyProtection="1">
      <alignment vertical="center"/>
      <protection hidden="1"/>
    </xf>
    <xf numFmtId="0" fontId="59" fillId="5" borderId="23" xfId="7" applyFont="1" applyFill="1" applyBorder="1" applyAlignment="1" applyProtection="1">
      <alignment vertical="center"/>
      <protection hidden="1"/>
    </xf>
    <xf numFmtId="0" fontId="54" fillId="5" borderId="23" xfId="7" applyFont="1" applyFill="1" applyBorder="1" applyProtection="1">
      <protection hidden="1"/>
    </xf>
    <xf numFmtId="0" fontId="54" fillId="5" borderId="24" xfId="7" applyFont="1" applyFill="1" applyBorder="1" applyProtection="1">
      <protection hidden="1"/>
    </xf>
    <xf numFmtId="0" fontId="61" fillId="5" borderId="24" xfId="7" applyFont="1" applyFill="1" applyBorder="1" applyAlignment="1" applyProtection="1">
      <alignment vertical="center"/>
      <protection hidden="1"/>
    </xf>
    <xf numFmtId="0" fontId="61" fillId="5" borderId="23" xfId="7" applyFont="1" applyFill="1" applyBorder="1" applyAlignment="1" applyProtection="1">
      <alignment vertical="center"/>
      <protection hidden="1"/>
    </xf>
    <xf numFmtId="0" fontId="54" fillId="5" borderId="25" xfId="7" applyFont="1" applyFill="1" applyBorder="1" applyProtection="1">
      <protection hidden="1"/>
    </xf>
    <xf numFmtId="0" fontId="54" fillId="5" borderId="27" xfId="7" applyFont="1" applyFill="1" applyBorder="1" applyProtection="1">
      <protection hidden="1"/>
    </xf>
    <xf numFmtId="0" fontId="36" fillId="5" borderId="0" xfId="7" applyFont="1" applyFill="1" applyBorder="1" applyAlignment="1" applyProtection="1">
      <alignment horizontal="right"/>
      <protection hidden="1"/>
    </xf>
    <xf numFmtId="0" fontId="36" fillId="0" borderId="5" xfId="7" applyFont="1" applyBorder="1"/>
    <xf numFmtId="0" fontId="36" fillId="0" borderId="9" xfId="7" applyFont="1" applyBorder="1"/>
    <xf numFmtId="166" fontId="36" fillId="0" borderId="0" xfId="7" applyNumberFormat="1" applyFont="1" applyBorder="1" applyAlignment="1">
      <alignment horizontal="center" vertical="center"/>
    </xf>
    <xf numFmtId="0" fontId="36" fillId="0" borderId="13" xfId="7" applyFont="1" applyBorder="1"/>
    <xf numFmtId="0" fontId="36" fillId="0" borderId="14" xfId="7" applyFont="1" applyBorder="1"/>
    <xf numFmtId="0" fontId="36" fillId="0" borderId="15" xfId="7" applyFont="1" applyBorder="1"/>
    <xf numFmtId="0" fontId="63" fillId="0" borderId="6" xfId="7" applyFont="1" applyBorder="1"/>
    <xf numFmtId="0" fontId="63" fillId="0" borderId="7" xfId="7" applyFont="1" applyBorder="1"/>
    <xf numFmtId="0" fontId="63" fillId="0" borderId="8" xfId="7" applyFont="1" applyBorder="1"/>
    <xf numFmtId="0" fontId="64" fillId="0" borderId="5" xfId="7" applyFont="1" applyBorder="1"/>
    <xf numFmtId="0" fontId="63" fillId="0" borderId="0" xfId="7" applyFont="1" applyBorder="1"/>
    <xf numFmtId="0" fontId="63" fillId="0" borderId="9" xfId="7" applyFont="1" applyBorder="1"/>
    <xf numFmtId="0" fontId="63" fillId="0" borderId="5" xfId="7" applyFont="1" applyBorder="1"/>
    <xf numFmtId="0" fontId="63" fillId="0" borderId="0" xfId="7" applyFont="1" applyBorder="1" applyAlignment="1">
      <alignment vertical="top"/>
    </xf>
    <xf numFmtId="0" fontId="65" fillId="0" borderId="0" xfId="7" applyFont="1" applyBorder="1"/>
    <xf numFmtId="0" fontId="63" fillId="0" borderId="13" xfId="7" applyFont="1" applyBorder="1"/>
    <xf numFmtId="0" fontId="63" fillId="0" borderId="14" xfId="7" applyFont="1" applyBorder="1"/>
    <xf numFmtId="0" fontId="63" fillId="0" borderId="15" xfId="7" applyFont="1" applyBorder="1"/>
    <xf numFmtId="0" fontId="64" fillId="0" borderId="0" xfId="7" applyFont="1" applyBorder="1"/>
    <xf numFmtId="0" fontId="63" fillId="0" borderId="0" xfId="7" applyFont="1" applyBorder="1" applyAlignment="1">
      <alignment vertical="center"/>
    </xf>
    <xf numFmtId="166" fontId="63" fillId="0" borderId="43" xfId="3" applyNumberFormat="1" applyFont="1" applyBorder="1" applyAlignment="1" applyProtection="1">
      <alignment vertical="center"/>
      <protection locked="0"/>
    </xf>
    <xf numFmtId="9" fontId="64" fillId="0" borderId="0" xfId="3" applyFont="1" applyBorder="1" applyAlignment="1">
      <alignment vertical="center"/>
    </xf>
    <xf numFmtId="0" fontId="64" fillId="0" borderId="0" xfId="7" applyFont="1" applyBorder="1" applyAlignment="1">
      <alignment vertical="center"/>
    </xf>
    <xf numFmtId="0" fontId="63" fillId="0" borderId="0" xfId="7" quotePrefix="1" applyFont="1" applyBorder="1" applyAlignment="1">
      <alignment horizontal="right"/>
    </xf>
    <xf numFmtId="0" fontId="28" fillId="5" borderId="0" xfId="7" applyFont="1" applyFill="1" applyBorder="1" applyAlignment="1" applyProtection="1">
      <alignment vertical="center"/>
      <protection hidden="1"/>
    </xf>
    <xf numFmtId="0" fontId="9" fillId="3" borderId="0" xfId="0" applyFont="1" applyFill="1" applyBorder="1" applyAlignment="1" applyProtection="1">
      <protection locked="0"/>
    </xf>
    <xf numFmtId="0" fontId="9" fillId="3" borderId="0" xfId="0" applyFont="1" applyFill="1" applyBorder="1" applyAlignment="1" applyProtection="1">
      <alignment horizontal="center"/>
      <protection locked="0"/>
    </xf>
    <xf numFmtId="0" fontId="36" fillId="5" borderId="0" xfId="7" applyFont="1" applyFill="1" applyBorder="1"/>
    <xf numFmtId="0" fontId="40" fillId="6" borderId="0" xfId="24" applyFont="1" applyBorder="1" applyAlignment="1" applyProtection="1">
      <alignment vertical="top" wrapText="1"/>
      <protection hidden="1"/>
    </xf>
    <xf numFmtId="0" fontId="39" fillId="8" borderId="0" xfId="7" applyFont="1" applyFill="1" applyBorder="1" applyAlignment="1" applyProtection="1">
      <alignment vertical="top" wrapText="1"/>
      <protection hidden="1"/>
    </xf>
    <xf numFmtId="0" fontId="44" fillId="0" borderId="0" xfId="7" applyFont="1" applyFill="1" applyBorder="1" applyAlignment="1" applyProtection="1">
      <alignment vertical="center" wrapText="1"/>
      <protection hidden="1"/>
    </xf>
    <xf numFmtId="0" fontId="47" fillId="0" borderId="0" xfId="7" applyFont="1" applyFill="1" applyBorder="1" applyAlignment="1" applyProtection="1">
      <alignment vertical="center" wrapText="1"/>
      <protection hidden="1"/>
    </xf>
    <xf numFmtId="0" fontId="44" fillId="6" borderId="0" xfId="24" applyFont="1" applyBorder="1" applyAlignment="1" applyProtection="1">
      <alignment vertical="center" wrapText="1"/>
      <protection hidden="1"/>
    </xf>
    <xf numFmtId="0" fontId="36" fillId="5" borderId="0" xfId="7" applyFont="1" applyFill="1" applyBorder="1" applyProtection="1">
      <protection hidden="1"/>
    </xf>
    <xf numFmtId="0" fontId="31" fillId="6" borderId="0" xfId="24" applyFont="1" applyBorder="1" applyAlignment="1">
      <alignment vertical="center"/>
    </xf>
    <xf numFmtId="9" fontId="43" fillId="6" borderId="0" xfId="24" applyNumberFormat="1" applyFont="1" applyBorder="1" applyAlignment="1" applyProtection="1">
      <alignment vertical="center" wrapText="1"/>
      <protection hidden="1"/>
    </xf>
    <xf numFmtId="0" fontId="66" fillId="6" borderId="0" xfId="7" applyFont="1" applyFill="1" applyBorder="1" applyAlignment="1" applyProtection="1">
      <alignment horizontal="left" vertical="center" indent="1"/>
      <protection hidden="1"/>
    </xf>
    <xf numFmtId="0" fontId="52" fillId="6" borderId="0" xfId="24" applyFont="1" applyBorder="1" applyAlignment="1" applyProtection="1">
      <alignment vertical="center"/>
      <protection locked="0" hidden="1"/>
    </xf>
    <xf numFmtId="0" fontId="69" fillId="6" borderId="0" xfId="7" applyFont="1" applyFill="1" applyBorder="1" applyAlignment="1" applyProtection="1">
      <alignment horizontal="left" vertical="center" indent="1"/>
      <protection hidden="1"/>
    </xf>
    <xf numFmtId="0" fontId="40" fillId="10" borderId="0" xfId="7" applyFont="1" applyFill="1" applyBorder="1" applyAlignment="1" applyProtection="1">
      <alignment horizontal="center" vertical="center"/>
      <protection hidden="1"/>
    </xf>
    <xf numFmtId="0" fontId="36" fillId="6" borderId="0" xfId="24" applyFont="1" applyBorder="1"/>
    <xf numFmtId="0" fontId="68" fillId="5" borderId="26" xfId="7" applyFont="1" applyFill="1" applyBorder="1" applyAlignment="1" applyProtection="1">
      <alignment horizontal="left" vertical="center" indent="1"/>
      <protection locked="0" hidden="1"/>
    </xf>
    <xf numFmtId="0" fontId="36" fillId="5" borderId="26" xfId="7" applyFont="1" applyFill="1" applyBorder="1"/>
    <xf numFmtId="0" fontId="52" fillId="5" borderId="26" xfId="7" applyFont="1" applyFill="1" applyBorder="1" applyAlignment="1" applyProtection="1">
      <alignment vertical="center"/>
      <protection locked="0" hidden="1"/>
    </xf>
    <xf numFmtId="0" fontId="52" fillId="5" borderId="0" xfId="7" applyFont="1" applyFill="1" applyBorder="1" applyAlignment="1" applyProtection="1">
      <alignment vertical="center"/>
      <protection locked="0" hidden="1"/>
    </xf>
    <xf numFmtId="0" fontId="52" fillId="0" borderId="0" xfId="7" applyFont="1" applyFill="1" applyBorder="1" applyAlignment="1" applyProtection="1">
      <alignment vertical="center"/>
      <protection locked="0" hidden="1"/>
    </xf>
    <xf numFmtId="0" fontId="52" fillId="5" borderId="50" xfId="7" applyFont="1" applyFill="1" applyBorder="1" applyAlignment="1" applyProtection="1">
      <alignment vertical="center"/>
      <protection locked="0" hidden="1"/>
    </xf>
    <xf numFmtId="0" fontId="52" fillId="0" borderId="50" xfId="7" applyFont="1" applyFill="1" applyBorder="1" applyAlignment="1" applyProtection="1">
      <alignment vertical="center"/>
      <protection locked="0" hidden="1"/>
    </xf>
    <xf numFmtId="0" fontId="68" fillId="5" borderId="0" xfId="7" applyFont="1" applyFill="1" applyBorder="1" applyAlignment="1" applyProtection="1">
      <alignment horizontal="left" vertical="center" indent="1"/>
      <protection locked="0" hidden="1"/>
    </xf>
    <xf numFmtId="0" fontId="60" fillId="8" borderId="0" xfId="7" applyFont="1" applyFill="1" applyBorder="1" applyAlignment="1" applyProtection="1">
      <alignment horizontal="left" indent="1"/>
      <protection hidden="1"/>
    </xf>
    <xf numFmtId="0" fontId="59" fillId="5" borderId="0" xfId="7" applyFont="1" applyFill="1" applyBorder="1" applyAlignment="1" applyProtection="1">
      <alignment vertical="center"/>
      <protection hidden="1"/>
    </xf>
    <xf numFmtId="0" fontId="54" fillId="5" borderId="0" xfId="7" applyFont="1" applyFill="1" applyBorder="1" applyProtection="1">
      <protection hidden="1"/>
    </xf>
    <xf numFmtId="0" fontId="61" fillId="5" borderId="0" xfId="7" applyFont="1" applyFill="1" applyBorder="1" applyAlignment="1" applyProtection="1">
      <alignment vertical="center"/>
      <protection hidden="1"/>
    </xf>
    <xf numFmtId="0" fontId="36" fillId="6" borderId="0" xfId="24" applyFont="1" applyBorder="1" applyProtection="1">
      <protection hidden="1"/>
    </xf>
    <xf numFmtId="0" fontId="57" fillId="6" borderId="0" xfId="24" applyFont="1" applyBorder="1" applyProtection="1">
      <protection hidden="1"/>
    </xf>
    <xf numFmtId="0" fontId="54" fillId="5" borderId="20" xfId="7" applyFont="1" applyFill="1" applyBorder="1" applyProtection="1">
      <protection hidden="1"/>
    </xf>
    <xf numFmtId="0" fontId="36" fillId="5" borderId="21" xfId="7" applyFont="1" applyFill="1" applyBorder="1" applyProtection="1">
      <protection hidden="1"/>
    </xf>
    <xf numFmtId="0" fontId="54" fillId="5" borderId="26" xfId="7" applyFont="1" applyFill="1" applyBorder="1" applyProtection="1">
      <protection hidden="1"/>
    </xf>
    <xf numFmtId="0" fontId="59" fillId="6" borderId="0" xfId="24" applyFont="1" applyBorder="1" applyAlignment="1" applyProtection="1">
      <alignment vertical="center"/>
      <protection hidden="1"/>
    </xf>
    <xf numFmtId="0" fontId="54" fillId="6" borderId="0" xfId="24" applyFont="1" applyBorder="1" applyProtection="1">
      <protection hidden="1"/>
    </xf>
    <xf numFmtId="0" fontId="61" fillId="6" borderId="0" xfId="24" applyFont="1" applyBorder="1" applyAlignment="1" applyProtection="1">
      <alignment vertical="center"/>
      <protection hidden="1"/>
    </xf>
    <xf numFmtId="0" fontId="36" fillId="6" borderId="23" xfId="24" applyFont="1" applyBorder="1" applyAlignment="1" applyProtection="1">
      <protection hidden="1"/>
    </xf>
    <xf numFmtId="0" fontId="36" fillId="6" borderId="0" xfId="24" applyFont="1" applyBorder="1" applyAlignment="1" applyProtection="1">
      <protection hidden="1"/>
    </xf>
    <xf numFmtId="0" fontId="58" fillId="6" borderId="0" xfId="24" applyFont="1" applyBorder="1" applyProtection="1">
      <protection hidden="1"/>
    </xf>
    <xf numFmtId="0" fontId="54" fillId="3" borderId="0" xfId="36" applyFont="1" applyBorder="1" applyProtection="1">
      <protection hidden="1"/>
    </xf>
    <xf numFmtId="0" fontId="28" fillId="5" borderId="0" xfId="7" applyFont="1" applyFill="1" applyBorder="1" applyAlignment="1" applyProtection="1">
      <alignment horizontal="left" vertical="center"/>
      <protection hidden="1"/>
    </xf>
    <xf numFmtId="0" fontId="41" fillId="6" borderId="0" xfId="24" applyFont="1" applyBorder="1" applyAlignment="1" applyProtection="1">
      <alignment vertical="center"/>
      <protection hidden="1"/>
    </xf>
    <xf numFmtId="0" fontId="28" fillId="6" borderId="0" xfId="24" applyFont="1" applyBorder="1" applyAlignment="1" applyProtection="1">
      <alignment vertical="center"/>
      <protection hidden="1"/>
    </xf>
    <xf numFmtId="0" fontId="41" fillId="6" borderId="0" xfId="24" applyFont="1" applyBorder="1" applyAlignment="1" applyProtection="1">
      <protection hidden="1"/>
    </xf>
    <xf numFmtId="0" fontId="36" fillId="5" borderId="26" xfId="7" applyFont="1" applyFill="1" applyBorder="1" applyAlignment="1">
      <alignment horizontal="right"/>
    </xf>
    <xf numFmtId="0" fontId="36" fillId="5" borderId="26" xfId="7" applyFont="1" applyFill="1" applyBorder="1" applyProtection="1">
      <protection hidden="1"/>
    </xf>
    <xf numFmtId="0" fontId="41" fillId="5" borderId="26" xfId="7" applyFont="1" applyFill="1" applyBorder="1" applyAlignment="1" applyProtection="1">
      <alignment horizontal="left"/>
      <protection hidden="1"/>
    </xf>
    <xf numFmtId="0" fontId="36" fillId="5" borderId="26" xfId="7" applyFont="1" applyFill="1" applyBorder="1" applyAlignment="1" applyProtection="1">
      <alignment horizontal="left"/>
      <protection hidden="1"/>
    </xf>
    <xf numFmtId="0" fontId="41" fillId="5" borderId="26" xfId="7" applyFont="1" applyFill="1" applyBorder="1" applyAlignment="1" applyProtection="1">
      <alignment vertical="center"/>
      <protection hidden="1"/>
    </xf>
    <xf numFmtId="0" fontId="54" fillId="5" borderId="26" xfId="7" applyFont="1" applyFill="1" applyBorder="1" applyAlignment="1" applyProtection="1">
      <alignment horizontal="left"/>
      <protection hidden="1"/>
    </xf>
    <xf numFmtId="0" fontId="41" fillId="5" borderId="26" xfId="7" applyFont="1" applyFill="1" applyBorder="1" applyAlignment="1" applyProtection="1">
      <protection hidden="1"/>
    </xf>
    <xf numFmtId="0" fontId="36" fillId="6" borderId="0" xfId="24" applyFont="1" applyBorder="1" applyAlignment="1">
      <alignment horizontal="center"/>
    </xf>
    <xf numFmtId="0" fontId="46" fillId="6" borderId="0" xfId="24" applyFont="1" applyBorder="1" applyAlignment="1" applyProtection="1">
      <alignment horizontal="left"/>
      <protection locked="0"/>
    </xf>
    <xf numFmtId="0" fontId="36" fillId="6" borderId="0" xfId="24" applyFont="1" applyBorder="1" applyAlignment="1">
      <alignment horizontal="right"/>
    </xf>
    <xf numFmtId="0" fontId="64" fillId="0" borderId="9" xfId="7" applyFont="1" applyBorder="1" applyAlignment="1">
      <alignment horizontal="right"/>
    </xf>
    <xf numFmtId="0" fontId="64" fillId="0" borderId="0" xfId="7" applyFont="1" applyBorder="1" applyAlignment="1">
      <alignment horizontal="right"/>
    </xf>
    <xf numFmtId="0" fontId="36" fillId="6" borderId="26" xfId="24" applyFont="1" applyBorder="1"/>
    <xf numFmtId="0" fontId="40" fillId="10" borderId="0" xfId="7" applyFont="1" applyFill="1" applyBorder="1" applyAlignment="1" applyProtection="1">
      <alignment vertical="center"/>
      <protection hidden="1"/>
    </xf>
    <xf numFmtId="0" fontId="71" fillId="5" borderId="0" xfId="7" applyFont="1" applyFill="1" applyBorder="1" applyAlignment="1" applyProtection="1">
      <alignment vertical="top" wrapText="1"/>
      <protection hidden="1"/>
    </xf>
    <xf numFmtId="0" fontId="71" fillId="5" borderId="50" xfId="7" applyFont="1" applyFill="1" applyBorder="1" applyAlignment="1" applyProtection="1">
      <alignment vertical="top" wrapText="1"/>
      <protection hidden="1"/>
    </xf>
    <xf numFmtId="0" fontId="46" fillId="5" borderId="50" xfId="7" applyFont="1" applyFill="1" applyBorder="1" applyAlignment="1" applyProtection="1">
      <alignment horizontal="left" vertical="center"/>
      <protection locked="0" hidden="1"/>
    </xf>
    <xf numFmtId="0" fontId="41" fillId="5" borderId="0" xfId="7" applyFont="1" applyFill="1" applyBorder="1"/>
    <xf numFmtId="0" fontId="41" fillId="0" borderId="0" xfId="7" applyFont="1" applyBorder="1"/>
    <xf numFmtId="0" fontId="57" fillId="5" borderId="0" xfId="7" applyFont="1" applyFill="1" applyBorder="1"/>
    <xf numFmtId="0" fontId="0" fillId="5" borderId="26" xfId="0" applyFill="1" applyBorder="1" applyAlignment="1">
      <alignment horizontal="left"/>
    </xf>
    <xf numFmtId="171" fontId="71" fillId="7" borderId="0" xfId="35" applyNumberFormat="1" applyFont="1" applyBorder="1" applyAlignment="1" applyProtection="1">
      <alignment horizontal="center" vertical="center"/>
      <protection hidden="1"/>
    </xf>
    <xf numFmtId="3" fontId="71" fillId="7" borderId="0" xfId="35" applyNumberFormat="1" applyFont="1" applyBorder="1" applyAlignment="1" applyProtection="1">
      <alignment horizontal="center" vertical="center"/>
      <protection hidden="1"/>
    </xf>
    <xf numFmtId="6" fontId="72" fillId="5" borderId="0" xfId="7" quotePrefix="1" applyNumberFormat="1" applyFont="1" applyFill="1" applyBorder="1" applyAlignment="1" applyProtection="1">
      <alignment horizontal="center" vertical="center"/>
      <protection hidden="1"/>
    </xf>
    <xf numFmtId="6" fontId="72" fillId="5" borderId="26" xfId="7" quotePrefix="1" applyNumberFormat="1" applyFont="1" applyFill="1" applyBorder="1" applyAlignment="1" applyProtection="1">
      <alignment horizontal="center" vertical="center"/>
      <protection hidden="1"/>
    </xf>
    <xf numFmtId="0" fontId="73" fillId="5" borderId="0" xfId="7" applyFont="1" applyFill="1" applyBorder="1" applyAlignment="1" applyProtection="1">
      <alignment horizontal="right" vertical="center"/>
      <protection hidden="1"/>
    </xf>
    <xf numFmtId="0" fontId="73" fillId="5" borderId="26" xfId="7" applyFont="1" applyFill="1" applyBorder="1" applyAlignment="1" applyProtection="1">
      <alignment horizontal="right" vertical="center"/>
      <protection hidden="1"/>
    </xf>
    <xf numFmtId="170" fontId="75" fillId="3" borderId="0" xfId="36" applyNumberFormat="1" applyFont="1" applyBorder="1" applyAlignment="1" applyProtection="1">
      <alignment horizontal="right" vertical="center"/>
      <protection hidden="1"/>
    </xf>
    <xf numFmtId="0" fontId="36" fillId="6" borderId="0" xfId="24" applyFont="1" applyBorder="1" applyAlignment="1">
      <alignment horizontal="center"/>
    </xf>
    <xf numFmtId="0" fontId="46" fillId="6" borderId="26" xfId="24" applyFont="1" applyBorder="1" applyAlignment="1" applyProtection="1">
      <alignment horizontal="left"/>
      <protection locked="0"/>
    </xf>
    <xf numFmtId="0" fontId="36" fillId="6" borderId="0" xfId="24" applyFont="1" applyBorder="1" applyAlignment="1">
      <alignment horizontal="right"/>
    </xf>
    <xf numFmtId="170" fontId="62" fillId="3" borderId="0" xfId="7" applyNumberFormat="1" applyFont="1" applyFill="1" applyBorder="1" applyAlignment="1" applyProtection="1">
      <alignment horizontal="center"/>
      <protection hidden="1"/>
    </xf>
    <xf numFmtId="0" fontId="40" fillId="3" borderId="6" xfId="7" applyFont="1" applyFill="1" applyBorder="1" applyAlignment="1">
      <alignment horizontal="center" vertical="center"/>
    </xf>
    <xf numFmtId="0" fontId="40" fillId="3" borderId="7" xfId="7" applyFont="1" applyFill="1" applyBorder="1" applyAlignment="1">
      <alignment horizontal="center" vertical="center"/>
    </xf>
    <xf numFmtId="0" fontId="40" fillId="3" borderId="8" xfId="7" applyFont="1" applyFill="1" applyBorder="1" applyAlignment="1">
      <alignment horizontal="center" vertical="center"/>
    </xf>
    <xf numFmtId="0" fontId="40" fillId="3" borderId="5" xfId="7" applyFont="1" applyFill="1" applyBorder="1" applyAlignment="1">
      <alignment horizontal="center" vertical="center"/>
    </xf>
    <xf numFmtId="0" fontId="40" fillId="3" borderId="0" xfId="7" applyFont="1" applyFill="1" applyBorder="1" applyAlignment="1">
      <alignment horizontal="center" vertical="center"/>
    </xf>
    <xf numFmtId="0" fontId="40" fillId="3" borderId="9" xfId="7" applyFont="1" applyFill="1" applyBorder="1" applyAlignment="1">
      <alignment horizontal="center" vertical="center"/>
    </xf>
    <xf numFmtId="0" fontId="40" fillId="5" borderId="0" xfId="7" applyFont="1" applyFill="1" applyBorder="1" applyAlignment="1">
      <alignment horizontal="center"/>
    </xf>
    <xf numFmtId="166" fontId="63" fillId="0" borderId="44" xfId="7" applyNumberFormat="1" applyFont="1" applyBorder="1" applyAlignment="1">
      <alignment horizontal="center" vertical="center"/>
    </xf>
    <xf numFmtId="166" fontId="63" fillId="0" borderId="45" xfId="7" applyNumberFormat="1" applyFont="1" applyBorder="1" applyAlignment="1">
      <alignment horizontal="center" vertical="center"/>
    </xf>
    <xf numFmtId="166" fontId="63" fillId="0" borderId="46" xfId="7" applyNumberFormat="1" applyFont="1" applyBorder="1" applyAlignment="1">
      <alignment horizontal="center" vertical="center"/>
    </xf>
    <xf numFmtId="9" fontId="64" fillId="0" borderId="47" xfId="3" applyFont="1" applyBorder="1" applyAlignment="1">
      <alignment horizontal="center" vertical="center"/>
    </xf>
    <xf numFmtId="9" fontId="64" fillId="0" borderId="48" xfId="3" applyFont="1" applyBorder="1" applyAlignment="1">
      <alignment horizontal="center" vertical="center"/>
    </xf>
    <xf numFmtId="9" fontId="64" fillId="0" borderId="49" xfId="3" applyFont="1" applyBorder="1" applyAlignment="1">
      <alignment horizontal="center" vertical="center"/>
    </xf>
    <xf numFmtId="0" fontId="55" fillId="5" borderId="21" xfId="7" applyFont="1" applyFill="1" applyBorder="1" applyAlignment="1" applyProtection="1">
      <alignment horizontal="right" vertical="center"/>
      <protection hidden="1"/>
    </xf>
    <xf numFmtId="0" fontId="55" fillId="5" borderId="0" xfId="7" applyFont="1" applyFill="1" applyBorder="1" applyAlignment="1" applyProtection="1">
      <alignment horizontal="right" vertical="center"/>
      <protection hidden="1"/>
    </xf>
    <xf numFmtId="0" fontId="56" fillId="5" borderId="21" xfId="7" applyFont="1" applyFill="1" applyBorder="1" applyAlignment="1" applyProtection="1">
      <alignment horizontal="left" vertical="center"/>
      <protection hidden="1"/>
    </xf>
    <xf numFmtId="0" fontId="56" fillId="5" borderId="0" xfId="7" applyFont="1" applyFill="1" applyBorder="1" applyAlignment="1" applyProtection="1">
      <alignment horizontal="left" vertical="center"/>
      <protection hidden="1"/>
    </xf>
    <xf numFmtId="166" fontId="37" fillId="0" borderId="10" xfId="7" applyNumberFormat="1" applyFont="1" applyBorder="1" applyAlignment="1" applyProtection="1">
      <alignment horizontal="center" vertical="center"/>
      <protection hidden="1"/>
    </xf>
    <xf numFmtId="0" fontId="40" fillId="10" borderId="0" xfId="7" applyFont="1" applyFill="1" applyBorder="1" applyAlignment="1" applyProtection="1">
      <alignment horizontal="center" vertical="center"/>
      <protection hidden="1"/>
    </xf>
    <xf numFmtId="9" fontId="74" fillId="5" borderId="0" xfId="24" applyNumberFormat="1" applyFont="1" applyFill="1" applyBorder="1" applyAlignment="1" applyProtection="1">
      <alignment horizontal="left" vertical="center"/>
      <protection hidden="1"/>
    </xf>
    <xf numFmtId="0" fontId="68" fillId="5" borderId="51" xfId="24" applyFont="1" applyFill="1" applyBorder="1" applyAlignment="1">
      <alignment horizontal="left" vertical="center"/>
    </xf>
    <xf numFmtId="6" fontId="49" fillId="0" borderId="52" xfId="3" applyNumberFormat="1" applyFont="1" applyFill="1" applyBorder="1" applyAlignment="1" applyProtection="1">
      <alignment horizontal="right" vertical="center"/>
      <protection hidden="1"/>
    </xf>
    <xf numFmtId="6" fontId="49" fillId="0" borderId="0" xfId="3" applyNumberFormat="1" applyFont="1" applyFill="1" applyBorder="1" applyAlignment="1" applyProtection="1">
      <alignment horizontal="right" vertical="center"/>
      <protection hidden="1"/>
    </xf>
    <xf numFmtId="166" fontId="68" fillId="0" borderId="51" xfId="7" applyNumberFormat="1" applyFont="1" applyFill="1" applyBorder="1" applyAlignment="1" applyProtection="1">
      <alignment horizontal="right" vertical="center"/>
      <protection hidden="1"/>
    </xf>
    <xf numFmtId="165" fontId="70" fillId="5" borderId="0" xfId="3" applyNumberFormat="1" applyFont="1" applyFill="1" applyBorder="1" applyAlignment="1" applyProtection="1">
      <alignment horizontal="right" vertical="center"/>
      <protection hidden="1"/>
    </xf>
    <xf numFmtId="165" fontId="70" fillId="5" borderId="10" xfId="3" applyNumberFormat="1" applyFont="1" applyFill="1" applyBorder="1" applyAlignment="1" applyProtection="1">
      <alignment horizontal="right" vertical="center"/>
      <protection hidden="1"/>
    </xf>
    <xf numFmtId="0" fontId="70" fillId="5" borderId="0" xfId="24" applyFont="1" applyFill="1" applyBorder="1" applyAlignment="1">
      <alignment horizontal="left" vertical="center"/>
    </xf>
    <xf numFmtId="0" fontId="44" fillId="5" borderId="0" xfId="7" applyFont="1" applyFill="1" applyBorder="1" applyAlignment="1" applyProtection="1">
      <alignment horizontal="right" vertical="center" wrapText="1"/>
      <protection hidden="1"/>
    </xf>
    <xf numFmtId="166" fontId="70" fillId="0" borderId="0" xfId="7" applyNumberFormat="1" applyFont="1" applyFill="1" applyBorder="1" applyAlignment="1" applyProtection="1">
      <alignment horizontal="left" vertical="center" indent="1"/>
      <protection locked="0" hidden="1"/>
    </xf>
    <xf numFmtId="0" fontId="47" fillId="0" borderId="0" xfId="7" applyFont="1" applyFill="1" applyBorder="1" applyAlignment="1" applyProtection="1">
      <alignment horizontal="right" vertical="center" wrapText="1"/>
      <protection hidden="1"/>
    </xf>
    <xf numFmtId="0" fontId="8" fillId="0" borderId="0" xfId="0" applyFont="1" applyBorder="1" applyAlignment="1" applyProtection="1">
      <alignment horizontal="left" wrapText="1"/>
      <protection hidden="1"/>
    </xf>
    <xf numFmtId="0" fontId="8" fillId="0" borderId="0" xfId="0" applyFont="1" applyBorder="1" applyAlignment="1" applyProtection="1">
      <alignment horizontal="center" wrapText="1"/>
      <protection hidden="1"/>
    </xf>
    <xf numFmtId="0" fontId="8" fillId="0" borderId="17" xfId="0" applyFont="1" applyBorder="1" applyAlignment="1" applyProtection="1">
      <alignment horizontal="center"/>
      <protection hidden="1"/>
    </xf>
    <xf numFmtId="3" fontId="25" fillId="0" borderId="4" xfId="2" applyNumberFormat="1" applyFont="1" applyFill="1" applyBorder="1" applyAlignment="1" applyProtection="1">
      <alignment horizontal="center" vertical="center" wrapText="1"/>
      <protection hidden="1"/>
    </xf>
    <xf numFmtId="0" fontId="30" fillId="0" borderId="1" xfId="0" applyFont="1" applyFill="1" applyBorder="1" applyAlignment="1">
      <alignment horizontal="center" vertical="center"/>
    </xf>
    <xf numFmtId="0" fontId="30" fillId="0" borderId="3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22" fillId="0" borderId="1" xfId="0" applyFont="1" applyFill="1" applyBorder="1" applyAlignment="1">
      <alignment horizontal="left" vertical="center"/>
    </xf>
    <xf numFmtId="0" fontId="22" fillId="0" borderId="2" xfId="0" applyFont="1" applyFill="1" applyBorder="1" applyAlignment="1">
      <alignment horizontal="left" vertical="center"/>
    </xf>
    <xf numFmtId="0" fontId="22" fillId="0" borderId="3" xfId="0" applyFont="1" applyFill="1" applyBorder="1" applyAlignment="1">
      <alignment horizontal="left" vertical="center"/>
    </xf>
    <xf numFmtId="0" fontId="12" fillId="0" borderId="2" xfId="0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166" fontId="12" fillId="4" borderId="1" xfId="2" applyNumberFormat="1" applyFont="1" applyFill="1" applyBorder="1" applyAlignment="1">
      <alignment horizontal="center" vertical="center"/>
    </xf>
    <xf numFmtId="166" fontId="12" fillId="4" borderId="2" xfId="2" applyNumberFormat="1" applyFont="1" applyFill="1" applyBorder="1" applyAlignment="1">
      <alignment horizontal="center" vertical="center"/>
    </xf>
    <xf numFmtId="166" fontId="12" fillId="4" borderId="3" xfId="2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22" fillId="0" borderId="31" xfId="0" applyFont="1" applyBorder="1" applyAlignment="1">
      <alignment horizontal="right" vertical="center"/>
    </xf>
    <xf numFmtId="0" fontId="12" fillId="0" borderId="32" xfId="0" applyFont="1" applyBorder="1" applyAlignment="1">
      <alignment horizontal="right" vertical="center"/>
    </xf>
    <xf numFmtId="0" fontId="12" fillId="0" borderId="33" xfId="0" applyFont="1" applyBorder="1" applyAlignment="1">
      <alignment horizontal="right" vertical="center"/>
    </xf>
    <xf numFmtId="0" fontId="12" fillId="4" borderId="4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166" fontId="12" fillId="4" borderId="31" xfId="2" applyNumberFormat="1" applyFont="1" applyFill="1" applyBorder="1" applyAlignment="1">
      <alignment horizontal="center" vertical="center"/>
    </xf>
    <xf numFmtId="166" fontId="12" fillId="4" borderId="32" xfId="2" applyNumberFormat="1" applyFont="1" applyFill="1" applyBorder="1" applyAlignment="1">
      <alignment horizontal="center" vertical="center"/>
    </xf>
    <xf numFmtId="166" fontId="12" fillId="4" borderId="33" xfId="2" applyNumberFormat="1" applyFont="1" applyFill="1" applyBorder="1" applyAlignment="1">
      <alignment horizontal="center" vertical="center"/>
    </xf>
    <xf numFmtId="166" fontId="13" fillId="8" borderId="1" xfId="1" applyNumberFormat="1" applyFont="1" applyFill="1" applyBorder="1" applyAlignment="1" applyProtection="1">
      <alignment horizontal="center" vertical="center"/>
      <protection locked="0"/>
    </xf>
    <xf numFmtId="166" fontId="13" fillId="8" borderId="2" xfId="1" applyNumberFormat="1" applyFont="1" applyFill="1" applyBorder="1" applyAlignment="1" applyProtection="1">
      <alignment horizontal="center" vertical="center"/>
      <protection locked="0"/>
    </xf>
    <xf numFmtId="166" fontId="13" fillId="8" borderId="3" xfId="1" applyNumberFormat="1" applyFont="1" applyFill="1" applyBorder="1" applyAlignment="1" applyProtection="1">
      <alignment horizontal="center" vertical="center"/>
      <protection locked="0"/>
    </xf>
    <xf numFmtId="3" fontId="8" fillId="3" borderId="1" xfId="2" applyNumberFormat="1" applyFont="1" applyFill="1" applyBorder="1" applyAlignment="1" applyProtection="1">
      <alignment horizontal="center" vertical="center" wrapText="1"/>
      <protection hidden="1"/>
    </xf>
    <xf numFmtId="3" fontId="8" fillId="3" borderId="2" xfId="2" applyNumberFormat="1" applyFont="1" applyFill="1" applyBorder="1" applyAlignment="1" applyProtection="1">
      <alignment horizontal="center" vertical="center" wrapText="1"/>
      <protection hidden="1"/>
    </xf>
    <xf numFmtId="3" fontId="8" fillId="3" borderId="3" xfId="2" applyNumberFormat="1" applyFont="1" applyFill="1" applyBorder="1" applyAlignment="1" applyProtection="1">
      <alignment horizontal="center" vertical="center" wrapText="1"/>
      <protection hidden="1"/>
    </xf>
    <xf numFmtId="167" fontId="12" fillId="4" borderId="1" xfId="0" applyNumberFormat="1" applyFont="1" applyFill="1" applyBorder="1" applyAlignment="1">
      <alignment vertical="center"/>
    </xf>
    <xf numFmtId="167" fontId="12" fillId="4" borderId="2" xfId="0" applyNumberFormat="1" applyFont="1" applyFill="1" applyBorder="1" applyAlignment="1">
      <alignment vertical="center"/>
    </xf>
    <xf numFmtId="167" fontId="12" fillId="4" borderId="3" xfId="0" applyNumberFormat="1" applyFont="1" applyFill="1" applyBorder="1" applyAlignment="1">
      <alignment vertical="center"/>
    </xf>
    <xf numFmtId="3" fontId="12" fillId="4" borderId="1" xfId="0" applyNumberFormat="1" applyFont="1" applyFill="1" applyBorder="1" applyAlignment="1">
      <alignment horizontal="center" vertical="center"/>
    </xf>
    <xf numFmtId="3" fontId="12" fillId="4" borderId="3" xfId="0" applyNumberFormat="1" applyFont="1" applyFill="1" applyBorder="1" applyAlignment="1">
      <alignment horizontal="center" vertical="center"/>
    </xf>
    <xf numFmtId="167" fontId="12" fillId="4" borderId="4" xfId="0" applyNumberFormat="1" applyFont="1" applyFill="1" applyBorder="1" applyAlignment="1">
      <alignment vertical="center"/>
    </xf>
    <xf numFmtId="3" fontId="12" fillId="8" borderId="1" xfId="3" applyNumberFormat="1" applyFont="1" applyFill="1" applyBorder="1" applyAlignment="1" applyProtection="1">
      <alignment horizontal="center" vertical="center"/>
      <protection locked="0"/>
    </xf>
    <xf numFmtId="3" fontId="12" fillId="8" borderId="2" xfId="3" applyNumberFormat="1" applyFont="1" applyFill="1" applyBorder="1" applyAlignment="1" applyProtection="1">
      <alignment horizontal="center" vertical="center"/>
      <protection locked="0"/>
    </xf>
    <xf numFmtId="3" fontId="12" fillId="8" borderId="3" xfId="3" applyNumberFormat="1" applyFont="1" applyFill="1" applyBorder="1" applyAlignment="1" applyProtection="1">
      <alignment horizontal="center" vertical="center"/>
      <protection locked="0"/>
    </xf>
    <xf numFmtId="166" fontId="22" fillId="4" borderId="1" xfId="0" applyNumberFormat="1" applyFont="1" applyFill="1" applyBorder="1" applyAlignment="1">
      <alignment horizontal="center" vertical="center"/>
    </xf>
    <xf numFmtId="166" fontId="12" fillId="0" borderId="2" xfId="0" applyNumberFormat="1" applyFont="1" applyBorder="1" applyAlignment="1">
      <alignment horizontal="center" vertical="center"/>
    </xf>
    <xf numFmtId="166" fontId="12" fillId="0" borderId="3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3" fontId="13" fillId="0" borderId="4" xfId="1" applyNumberFormat="1" applyFont="1" applyFill="1" applyBorder="1" applyAlignment="1">
      <alignment horizontal="center" vertical="center"/>
    </xf>
    <xf numFmtId="3" fontId="13" fillId="4" borderId="4" xfId="1" applyNumberFormat="1" applyFont="1" applyFill="1" applyBorder="1" applyAlignment="1">
      <alignment horizontal="center" vertical="center"/>
    </xf>
    <xf numFmtId="166" fontId="12" fillId="4" borderId="4" xfId="2" applyNumberFormat="1" applyFont="1" applyFill="1" applyBorder="1" applyAlignment="1">
      <alignment horizontal="center" vertical="center"/>
    </xf>
    <xf numFmtId="165" fontId="12" fillId="4" borderId="4" xfId="1" applyNumberFormat="1" applyFont="1" applyFill="1" applyBorder="1" applyAlignment="1">
      <alignment horizontal="center" vertical="center"/>
    </xf>
    <xf numFmtId="164" fontId="4" fillId="0" borderId="19" xfId="1" applyNumberFormat="1" applyFont="1" applyFill="1" applyBorder="1" applyAlignment="1" applyProtection="1">
      <alignment horizontal="center" vertical="center" wrapText="1"/>
      <protection hidden="1"/>
    </xf>
    <xf numFmtId="164" fontId="4" fillId="0" borderId="29" xfId="1" applyNumberFormat="1" applyFont="1" applyFill="1" applyBorder="1" applyAlignment="1" applyProtection="1">
      <alignment horizontal="center" vertical="center" wrapText="1"/>
      <protection hidden="1"/>
    </xf>
    <xf numFmtId="0" fontId="32" fillId="3" borderId="4" xfId="0" applyFont="1" applyFill="1" applyBorder="1" applyAlignment="1" applyProtection="1">
      <alignment horizontal="left"/>
    </xf>
    <xf numFmtId="0" fontId="11" fillId="2" borderId="4" xfId="0" applyFont="1" applyFill="1" applyBorder="1" applyAlignment="1" applyProtection="1">
      <alignment horizontal="center"/>
    </xf>
    <xf numFmtId="3" fontId="22" fillId="0" borderId="4" xfId="2" applyNumberFormat="1" applyFont="1" applyFill="1" applyBorder="1" applyAlignment="1">
      <alignment horizontal="center" vertical="center"/>
    </xf>
    <xf numFmtId="166" fontId="22" fillId="4" borderId="30" xfId="2" applyNumberFormat="1" applyFont="1" applyFill="1" applyBorder="1" applyAlignment="1">
      <alignment horizontal="center" vertical="center"/>
    </xf>
    <xf numFmtId="0" fontId="29" fillId="2" borderId="4" xfId="0" applyFont="1" applyFill="1" applyBorder="1" applyAlignment="1" applyProtection="1">
      <alignment horizontal="center"/>
    </xf>
    <xf numFmtId="0" fontId="16" fillId="3" borderId="1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169" fontId="13" fillId="0" borderId="4" xfId="0" applyNumberFormat="1" applyFont="1" applyFill="1" applyBorder="1" applyAlignment="1" applyProtection="1">
      <alignment horizontal="center"/>
    </xf>
    <xf numFmtId="3" fontId="13" fillId="0" borderId="4" xfId="0" applyNumberFormat="1" applyFont="1" applyFill="1" applyBorder="1" applyAlignment="1" applyProtection="1">
      <alignment horizontal="center"/>
    </xf>
    <xf numFmtId="3" fontId="13" fillId="0" borderId="4" xfId="1" applyNumberFormat="1" applyFont="1" applyFill="1" applyBorder="1" applyAlignment="1" applyProtection="1">
      <alignment horizontal="center"/>
    </xf>
    <xf numFmtId="0" fontId="32" fillId="3" borderId="4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169" fontId="13" fillId="0" borderId="4" xfId="1" applyNumberFormat="1" applyFont="1" applyFill="1" applyBorder="1" applyAlignment="1" applyProtection="1">
      <alignment horizontal="center" vertical="center"/>
    </xf>
    <xf numFmtId="3" fontId="13" fillId="0" borderId="4" xfId="1" applyNumberFormat="1" applyFont="1" applyFill="1" applyBorder="1" applyAlignment="1" applyProtection="1">
      <alignment horizontal="center" vertical="center"/>
    </xf>
    <xf numFmtId="169" fontId="13" fillId="0" borderId="4" xfId="1" applyNumberFormat="1" applyFont="1" applyFill="1" applyBorder="1" applyAlignment="1">
      <alignment horizontal="center" vertical="center"/>
    </xf>
    <xf numFmtId="3" fontId="13" fillId="2" borderId="4" xfId="2" applyNumberFormat="1" applyFont="1" applyFill="1" applyBorder="1" applyAlignment="1" applyProtection="1">
      <alignment horizontal="center"/>
    </xf>
    <xf numFmtId="0" fontId="23" fillId="3" borderId="4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29" fillId="2" borderId="4" xfId="0" applyFont="1" applyFill="1" applyBorder="1" applyAlignment="1">
      <alignment horizontal="center"/>
    </xf>
    <xf numFmtId="0" fontId="29" fillId="0" borderId="4" xfId="0" applyFont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 wrapText="1"/>
    </xf>
    <xf numFmtId="171" fontId="13" fillId="8" borderId="4" xfId="1" applyNumberFormat="1" applyFont="1" applyFill="1" applyBorder="1" applyAlignment="1" applyProtection="1">
      <alignment horizontal="center" vertical="center"/>
      <protection locked="0"/>
    </xf>
    <xf numFmtId="0" fontId="12" fillId="0" borderId="5" xfId="0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9" xfId="0" applyFont="1" applyBorder="1" applyAlignment="1">
      <alignment horizontal="left" vertical="center"/>
    </xf>
    <xf numFmtId="0" fontId="16" fillId="3" borderId="4" xfId="0" applyFont="1" applyFill="1" applyBorder="1" applyAlignment="1">
      <alignment horizontal="center" vertical="center" wrapText="1"/>
    </xf>
    <xf numFmtId="0" fontId="16" fillId="3" borderId="4" xfId="0" applyFont="1" applyFill="1" applyBorder="1" applyAlignment="1">
      <alignment horizontal="left" vertical="center"/>
    </xf>
    <xf numFmtId="0" fontId="34" fillId="3" borderId="4" xfId="0" applyFont="1" applyFill="1" applyBorder="1" applyAlignment="1">
      <alignment horizontal="left" vertical="center"/>
    </xf>
    <xf numFmtId="165" fontId="12" fillId="8" borderId="1" xfId="0" applyNumberFormat="1" applyFont="1" applyFill="1" applyBorder="1" applyAlignment="1" applyProtection="1">
      <alignment horizontal="center" vertical="center"/>
      <protection locked="0"/>
    </xf>
    <xf numFmtId="165" fontId="12" fillId="8" borderId="2" xfId="0" applyNumberFormat="1" applyFont="1" applyFill="1" applyBorder="1" applyAlignment="1" applyProtection="1">
      <alignment horizontal="center" vertical="center"/>
      <protection locked="0"/>
    </xf>
    <xf numFmtId="165" fontId="12" fillId="8" borderId="3" xfId="0" applyNumberFormat="1" applyFont="1" applyFill="1" applyBorder="1" applyAlignment="1" applyProtection="1">
      <alignment horizontal="center" vertical="center"/>
      <protection locked="0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9" fontId="19" fillId="3" borderId="0" xfId="0" applyNumberFormat="1" applyFont="1" applyFill="1" applyBorder="1" applyAlignment="1">
      <alignment horizontal="right"/>
    </xf>
    <xf numFmtId="0" fontId="7" fillId="3" borderId="40" xfId="0" applyFont="1" applyFill="1" applyBorder="1" applyAlignment="1">
      <alignment horizontal="center"/>
    </xf>
    <xf numFmtId="0" fontId="7" fillId="3" borderId="41" xfId="0" applyFont="1" applyFill="1" applyBorder="1" applyAlignment="1">
      <alignment horizontal="center"/>
    </xf>
    <xf numFmtId="0" fontId="7" fillId="3" borderId="42" xfId="0" applyFont="1" applyFill="1" applyBorder="1" applyAlignment="1">
      <alignment horizontal="center"/>
    </xf>
    <xf numFmtId="0" fontId="32" fillId="3" borderId="2" xfId="0" applyFont="1" applyFill="1" applyBorder="1" applyAlignment="1">
      <alignment horizontal="center" vertical="center"/>
    </xf>
    <xf numFmtId="0" fontId="32" fillId="3" borderId="3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171" fontId="12" fillId="8" borderId="1" xfId="2" applyNumberFormat="1" applyFont="1" applyFill="1" applyBorder="1" applyAlignment="1" applyProtection="1">
      <alignment horizontal="center" vertical="center"/>
      <protection locked="0"/>
    </xf>
    <xf numFmtId="171" fontId="12" fillId="8" borderId="2" xfId="2" applyNumberFormat="1" applyFont="1" applyFill="1" applyBorder="1" applyAlignment="1" applyProtection="1">
      <alignment horizontal="center" vertical="center"/>
      <protection locked="0"/>
    </xf>
    <xf numFmtId="171" fontId="12" fillId="8" borderId="3" xfId="2" applyNumberFormat="1" applyFont="1" applyFill="1" applyBorder="1" applyAlignment="1" applyProtection="1">
      <alignment horizontal="center" vertical="center"/>
      <protection locked="0"/>
    </xf>
    <xf numFmtId="0" fontId="12" fillId="0" borderId="6" xfId="0" applyFont="1" applyBorder="1" applyAlignment="1">
      <alignment horizontal="left" vertical="center"/>
    </xf>
    <xf numFmtId="0" fontId="12" fillId="0" borderId="7" xfId="0" applyFont="1" applyBorder="1" applyAlignment="1">
      <alignment horizontal="left" vertical="center"/>
    </xf>
    <xf numFmtId="0" fontId="12" fillId="0" borderId="8" xfId="0" applyFont="1" applyBorder="1" applyAlignment="1">
      <alignment horizontal="left" vertical="center"/>
    </xf>
    <xf numFmtId="6" fontId="20" fillId="5" borderId="0" xfId="0" quotePrefix="1" applyNumberFormat="1" applyFont="1" applyFill="1" applyBorder="1" applyAlignment="1">
      <alignment horizontal="center" vertical="center"/>
    </xf>
    <xf numFmtId="6" fontId="20" fillId="5" borderId="26" xfId="0" quotePrefix="1" applyNumberFormat="1" applyFont="1" applyFill="1" applyBorder="1" applyAlignment="1">
      <alignment horizontal="center" vertical="center"/>
    </xf>
    <xf numFmtId="0" fontId="21" fillId="5" borderId="0" xfId="0" applyFont="1" applyFill="1" applyBorder="1" applyAlignment="1">
      <alignment horizontal="center"/>
    </xf>
    <xf numFmtId="0" fontId="21" fillId="5" borderId="26" xfId="0" applyFont="1" applyFill="1" applyBorder="1" applyAlignment="1">
      <alignment horizontal="center"/>
    </xf>
    <xf numFmtId="170" fontId="19" fillId="3" borderId="0" xfId="0" applyNumberFormat="1" applyFont="1" applyFill="1" applyBorder="1" applyAlignment="1">
      <alignment horizontal="right"/>
    </xf>
    <xf numFmtId="167" fontId="31" fillId="4" borderId="31" xfId="0" applyNumberFormat="1" applyFont="1" applyFill="1" applyBorder="1" applyAlignment="1">
      <alignment horizontal="left" vertical="center"/>
    </xf>
    <xf numFmtId="167" fontId="31" fillId="4" borderId="32" xfId="0" applyNumberFormat="1" applyFont="1" applyFill="1" applyBorder="1" applyAlignment="1">
      <alignment horizontal="left" vertical="center"/>
    </xf>
    <xf numFmtId="167" fontId="31" fillId="4" borderId="33" xfId="0" applyNumberFormat="1" applyFont="1" applyFill="1" applyBorder="1" applyAlignment="1">
      <alignment horizontal="left" vertical="center"/>
    </xf>
    <xf numFmtId="166" fontId="22" fillId="4" borderId="31" xfId="0" applyNumberFormat="1" applyFont="1" applyFill="1" applyBorder="1" applyAlignment="1">
      <alignment horizontal="center" vertical="center"/>
    </xf>
    <xf numFmtId="166" fontId="12" fillId="0" borderId="32" xfId="0" applyNumberFormat="1" applyFont="1" applyBorder="1" applyAlignment="1">
      <alignment horizontal="center" vertical="center"/>
    </xf>
    <xf numFmtId="166" fontId="12" fillId="0" borderId="33" xfId="0" applyNumberFormat="1" applyFont="1" applyBorder="1" applyAlignment="1">
      <alignment horizontal="center" vertical="center"/>
    </xf>
    <xf numFmtId="3" fontId="13" fillId="2" borderId="4" xfId="1" applyNumberFormat="1" applyFont="1" applyFill="1" applyBorder="1" applyAlignment="1" applyProtection="1">
      <alignment horizontal="center"/>
    </xf>
    <xf numFmtId="169" fontId="13" fillId="2" borderId="4" xfId="1" applyNumberFormat="1" applyFont="1" applyFill="1" applyBorder="1" applyAlignment="1" applyProtection="1">
      <alignment horizontal="center"/>
    </xf>
    <xf numFmtId="0" fontId="5" fillId="5" borderId="21" xfId="0" applyFont="1" applyFill="1" applyBorder="1" applyAlignment="1">
      <alignment horizontal="right" vertical="center"/>
    </xf>
    <xf numFmtId="0" fontId="5" fillId="5" borderId="0" xfId="0" applyFont="1" applyFill="1" applyBorder="1" applyAlignment="1">
      <alignment horizontal="right" vertical="center"/>
    </xf>
    <xf numFmtId="0" fontId="17" fillId="5" borderId="21" xfId="0" applyFont="1" applyFill="1" applyBorder="1" applyAlignment="1">
      <alignment horizontal="left" vertical="center"/>
    </xf>
    <xf numFmtId="0" fontId="17" fillId="5" borderId="0" xfId="0" applyFont="1" applyFill="1" applyBorder="1" applyAlignment="1">
      <alignment horizontal="left" vertical="center"/>
    </xf>
    <xf numFmtId="10" fontId="12" fillId="8" borderId="1" xfId="3" applyNumberFormat="1" applyFont="1" applyFill="1" applyBorder="1" applyAlignment="1" applyProtection="1">
      <alignment horizontal="center" vertical="center"/>
      <protection locked="0"/>
    </xf>
    <xf numFmtId="10" fontId="12" fillId="8" borderId="2" xfId="3" applyNumberFormat="1" applyFont="1" applyFill="1" applyBorder="1" applyAlignment="1" applyProtection="1">
      <alignment horizontal="center" vertical="center"/>
      <protection locked="0"/>
    </xf>
    <xf numFmtId="10" fontId="12" fillId="8" borderId="3" xfId="3" applyNumberFormat="1" applyFont="1" applyFill="1" applyBorder="1" applyAlignment="1" applyProtection="1">
      <alignment horizontal="center" vertical="center"/>
      <protection locked="0"/>
    </xf>
    <xf numFmtId="39" fontId="12" fillId="8" borderId="1" xfId="0" applyNumberFormat="1" applyFont="1" applyFill="1" applyBorder="1" applyAlignment="1" applyProtection="1">
      <alignment horizontal="center" vertical="center"/>
      <protection locked="0"/>
    </xf>
    <xf numFmtId="39" fontId="12" fillId="8" borderId="2" xfId="0" applyNumberFormat="1" applyFont="1" applyFill="1" applyBorder="1" applyAlignment="1" applyProtection="1">
      <alignment horizontal="center" vertical="center"/>
      <protection locked="0"/>
    </xf>
    <xf numFmtId="39" fontId="12" fillId="8" borderId="3" xfId="0" applyNumberFormat="1" applyFont="1" applyFill="1" applyBorder="1" applyAlignment="1" applyProtection="1">
      <alignment horizontal="center" vertical="center"/>
      <protection locked="0"/>
    </xf>
    <xf numFmtId="37" fontId="12" fillId="8" borderId="1" xfId="0" applyNumberFormat="1" applyFont="1" applyFill="1" applyBorder="1" applyAlignment="1" applyProtection="1">
      <alignment horizontal="center" vertical="center"/>
      <protection locked="0"/>
    </xf>
    <xf numFmtId="37" fontId="12" fillId="8" borderId="2" xfId="0" applyNumberFormat="1" applyFont="1" applyFill="1" applyBorder="1" applyAlignment="1" applyProtection="1">
      <alignment horizontal="center" vertical="center"/>
      <protection locked="0"/>
    </xf>
    <xf numFmtId="37" fontId="12" fillId="8" borderId="3" xfId="0" applyNumberFormat="1" applyFont="1" applyFill="1" applyBorder="1" applyAlignment="1" applyProtection="1">
      <alignment horizontal="center" vertical="center"/>
      <protection locked="0"/>
    </xf>
    <xf numFmtId="164" fontId="4" fillId="0" borderId="28" xfId="1" applyNumberFormat="1" applyFont="1" applyFill="1" applyBorder="1" applyAlignment="1" applyProtection="1">
      <alignment horizontal="center" vertical="center" wrapText="1"/>
      <protection hidden="1"/>
    </xf>
  </cellXfs>
  <cellStyles count="37">
    <cellStyle name="Comma" xfId="1" builtinId="3"/>
    <cellStyle name="Currency" xfId="2" builtinId="4"/>
    <cellStyle name="Currency 2" xfId="4"/>
    <cellStyle name="Currency 2 2" xfId="12"/>
    <cellStyle name="Currency 2 2 2" xfId="20"/>
    <cellStyle name="Currency 2 3" xfId="21"/>
    <cellStyle name="Currency 3" xfId="5"/>
    <cellStyle name="Currency 3 2" xfId="13"/>
    <cellStyle name="Currency 3 2 2" xfId="22"/>
    <cellStyle name="Currency 3 3" xfId="23"/>
    <cellStyle name="GCoolGray20%" xfId="24"/>
    <cellStyle name="GEcoBlue" xfId="36"/>
    <cellStyle name="GGray" xfId="35"/>
    <cellStyle name="Hyperlink 2" xfId="6"/>
    <cellStyle name="Normal" xfId="0" builtinId="0"/>
    <cellStyle name="Normal 2" xfId="7"/>
    <cellStyle name="Normal 3" xfId="8"/>
    <cellStyle name="Normal 3 2" xfId="14"/>
    <cellStyle name="Normal 3 2 2" xfId="25"/>
    <cellStyle name="Normal 3 3" xfId="26"/>
    <cellStyle name="Normal 4" xfId="9"/>
    <cellStyle name="Normal 4 2" xfId="15"/>
    <cellStyle name="Normal 4 2 2" xfId="27"/>
    <cellStyle name="Normal 4 3" xfId="28"/>
    <cellStyle name="Normal 5" xfId="16"/>
    <cellStyle name="Normal 5 2" xfId="17"/>
    <cellStyle name="Normal 5 2 2" xfId="29"/>
    <cellStyle name="Normal 5 3" xfId="30"/>
    <cellStyle name="Percent" xfId="3" builtinId="5"/>
    <cellStyle name="Percent 2" xfId="10"/>
    <cellStyle name="Percent 2 2" xfId="18"/>
    <cellStyle name="Percent 2 2 2" xfId="31"/>
    <cellStyle name="Percent 2 3" xfId="32"/>
    <cellStyle name="Percent 3" xfId="11"/>
    <cellStyle name="Percent 3 2" xfId="19"/>
    <cellStyle name="Percent 3 2 2" xfId="33"/>
    <cellStyle name="Percent 3 3" xfId="34"/>
  </cellStyles>
  <dxfs count="5">
    <dxf>
      <fill>
        <patternFill>
          <bgColor rgb="FF92D050"/>
        </patternFill>
      </fill>
    </dxf>
    <dxf>
      <border>
        <left/>
        <right/>
        <top/>
        <bottom/>
        <vertical/>
        <horizontal/>
      </border>
    </dxf>
    <dxf>
      <fill>
        <patternFill patternType="solid">
          <bgColor theme="0"/>
        </patternFill>
      </fill>
    </dxf>
    <dxf>
      <font>
        <color auto="1"/>
      </font>
      <fill>
        <patternFill>
          <bgColor rgb="FFADAFAF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DAFAF"/>
      <color rgb="FFEBEDEF"/>
      <color rgb="FF007AC9"/>
      <color rgb="FF616365"/>
      <color rgb="FF66CCFF"/>
      <color rgb="FF99CC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747251188196065E-2"/>
          <c:y val="0"/>
          <c:w val="0.43806306306306309"/>
          <c:h val="0.96049382716049381"/>
        </c:manualLayout>
      </c:layout>
      <c:pieChart>
        <c:varyColors val="1"/>
        <c:ser>
          <c:idx val="0"/>
          <c:order val="0"/>
          <c:tx>
            <c:v>Proportion of Savings</c:v>
          </c:tx>
          <c:cat>
            <c:strRef>
              <c:f>TowerCycles!$D$45:$D$46</c:f>
              <c:strCache>
                <c:ptCount val="2"/>
                <c:pt idx="0">
                  <c:v>Make-up Water</c:v>
                </c:pt>
                <c:pt idx="1">
                  <c:v>Discharge Water</c:v>
                </c:pt>
              </c:strCache>
            </c:strRef>
          </c:cat>
          <c:val>
            <c:numRef>
              <c:f>TowerCycles!$AB$49:$AB$50</c:f>
              <c:numCache>
                <c:formatCode>0.00%</c:formatCode>
                <c:ptCount val="2"/>
                <c:pt idx="0">
                  <c:v>0.36363636363636381</c:v>
                </c:pt>
                <c:pt idx="1">
                  <c:v>0.63636363636363613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05-46C3-87C6-B8BCB071F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56213704994192804"/>
          <c:y val="4.404086247952757E-2"/>
          <c:w val="0.42262448901204425"/>
          <c:h val="0.35904171553023956"/>
        </c:manualLayout>
      </c:layout>
      <c:overlay val="0"/>
      <c:txPr>
        <a:bodyPr/>
        <a:lstStyle/>
        <a:p>
          <a:pPr>
            <a:defRPr sz="1050"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Equations!A1"/><Relationship Id="rId13" Type="http://schemas.openxmlformats.org/officeDocument/2006/relationships/image" Target="../media/image9.png"/><Relationship Id="rId3" Type="http://schemas.openxmlformats.org/officeDocument/2006/relationships/image" Target="../media/image3.wmf"/><Relationship Id="rId7" Type="http://schemas.openxmlformats.org/officeDocument/2006/relationships/hyperlink" Target="#Report1!A1"/><Relationship Id="rId12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TowerCycles!A1"/><Relationship Id="rId11" Type="http://schemas.openxmlformats.org/officeDocument/2006/relationships/image" Target="../media/image7.png"/><Relationship Id="rId5" Type="http://schemas.openxmlformats.org/officeDocument/2006/relationships/hyperlink" Target="#Instructions!A1"/><Relationship Id="rId10" Type="http://schemas.openxmlformats.org/officeDocument/2006/relationships/image" Target="../media/image6.png"/><Relationship Id="rId4" Type="http://schemas.openxmlformats.org/officeDocument/2006/relationships/image" Target="../media/image4.jpeg"/><Relationship Id="rId9" Type="http://schemas.openxmlformats.org/officeDocument/2006/relationships/image" Target="../media/image5.png"/><Relationship Id="rId14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7" Type="http://schemas.openxmlformats.org/officeDocument/2006/relationships/hyperlink" Target="#Equations!A1"/><Relationship Id="rId2" Type="http://schemas.microsoft.com/office/2007/relationships/hdphoto" Target="../media/hdphoto1.wdp"/><Relationship Id="rId1" Type="http://schemas.openxmlformats.org/officeDocument/2006/relationships/image" Target="../media/image12.jpeg"/><Relationship Id="rId6" Type="http://schemas.openxmlformats.org/officeDocument/2006/relationships/hyperlink" Target="#Report1!A1"/><Relationship Id="rId5" Type="http://schemas.openxmlformats.org/officeDocument/2006/relationships/hyperlink" Target="#TowerCycles!A1"/><Relationship Id="rId4" Type="http://schemas.openxmlformats.org/officeDocument/2006/relationships/hyperlink" Target="#Instruction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ain!A1"/><Relationship Id="rId7" Type="http://schemas.openxmlformats.org/officeDocument/2006/relationships/hyperlink" Target="#Equations!A1"/><Relationship Id="rId2" Type="http://schemas.microsoft.com/office/2007/relationships/hdphoto" Target="../media/hdphoto1.wdp"/><Relationship Id="rId1" Type="http://schemas.openxmlformats.org/officeDocument/2006/relationships/image" Target="../media/image12.jpeg"/><Relationship Id="rId6" Type="http://schemas.openxmlformats.org/officeDocument/2006/relationships/hyperlink" Target="#Report1!A1"/><Relationship Id="rId5" Type="http://schemas.openxmlformats.org/officeDocument/2006/relationships/hyperlink" Target="#TowerCycles!A1"/><Relationship Id="rId4" Type="http://schemas.openxmlformats.org/officeDocument/2006/relationships/image" Target="../media/image3.w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port1!A1"/><Relationship Id="rId13" Type="http://schemas.openxmlformats.org/officeDocument/2006/relationships/image" Target="../media/image25.png"/><Relationship Id="rId3" Type="http://schemas.openxmlformats.org/officeDocument/2006/relationships/image" Target="../media/image12.jpeg"/><Relationship Id="rId7" Type="http://schemas.openxmlformats.org/officeDocument/2006/relationships/hyperlink" Target="#TowerCycles!A1"/><Relationship Id="rId12" Type="http://schemas.openxmlformats.org/officeDocument/2006/relationships/image" Target="../media/image2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Instructions!A1"/><Relationship Id="rId11" Type="http://schemas.openxmlformats.org/officeDocument/2006/relationships/image" Target="../media/image23.png"/><Relationship Id="rId5" Type="http://schemas.openxmlformats.org/officeDocument/2006/relationships/chart" Target="../charts/chart1.xml"/><Relationship Id="rId15" Type="http://schemas.openxmlformats.org/officeDocument/2006/relationships/image" Target="../media/image3.wmf"/><Relationship Id="rId10" Type="http://schemas.openxmlformats.org/officeDocument/2006/relationships/image" Target="../media/image22.jpeg"/><Relationship Id="rId4" Type="http://schemas.microsoft.com/office/2007/relationships/hdphoto" Target="../media/hdphoto1.wdp"/><Relationship Id="rId9" Type="http://schemas.openxmlformats.org/officeDocument/2006/relationships/hyperlink" Target="#Equations!A1"/><Relationship Id="rId14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95249</xdr:colOff>
      <xdr:row>1</xdr:row>
      <xdr:rowOff>85725</xdr:rowOff>
    </xdr:from>
    <xdr:to>
      <xdr:col>25</xdr:col>
      <xdr:colOff>876300</xdr:colOff>
      <xdr:row>4</xdr:row>
      <xdr:rowOff>142875</xdr:rowOff>
    </xdr:to>
    <xdr:grpSp>
      <xdr:nvGrpSpPr>
        <xdr:cNvPr id="2" name="Group 1"/>
        <xdr:cNvGrpSpPr/>
      </xdr:nvGrpSpPr>
      <xdr:grpSpPr>
        <a:xfrm>
          <a:off x="10039349" y="247650"/>
          <a:ext cx="1457326" cy="542925"/>
          <a:chOff x="8820139" y="457200"/>
          <a:chExt cx="1000132" cy="495300"/>
        </a:xfrm>
      </xdr:grpSpPr>
      <xdr:grpSp>
        <xdr:nvGrpSpPr>
          <xdr:cNvPr id="3" name="Group 2"/>
          <xdr:cNvGrpSpPr/>
        </xdr:nvGrpSpPr>
        <xdr:grpSpPr>
          <a:xfrm>
            <a:off x="8820139" y="457200"/>
            <a:ext cx="523875" cy="495300"/>
            <a:chOff x="11249025" y="676275"/>
            <a:chExt cx="577516" cy="495300"/>
          </a:xfrm>
        </xdr:grpSpPr>
        <xdr:pic macro="[0]!PrintReport">
          <xdr:nvPicPr>
            <xdr:cNvPr id="7" name="Picture 6" descr="http://askgeorgekopp.com/wp-content/uploads/2013/05/Icon-Printer02-Black.png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249025" y="676275"/>
              <a:ext cx="457199" cy="45720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8" name="TextBox 7"/>
            <xdr:cNvSpPr txBox="1"/>
          </xdr:nvSpPr>
          <xdr:spPr>
            <a:xfrm>
              <a:off x="11249025" y="990600"/>
              <a:ext cx="577516" cy="1809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000" b="1">
                  <a:solidFill>
                    <a:schemeClr val="bg1"/>
                  </a:solidFill>
                </a:rPr>
                <a:t>Print</a:t>
              </a:r>
            </a:p>
          </xdr:txBody>
        </xdr:sp>
      </xdr:grpSp>
      <xdr:grpSp>
        <xdr:nvGrpSpPr>
          <xdr:cNvPr id="4" name="Group 3"/>
          <xdr:cNvGrpSpPr/>
        </xdr:nvGrpSpPr>
        <xdr:grpSpPr>
          <a:xfrm>
            <a:off x="9363071" y="485775"/>
            <a:ext cx="457200" cy="466725"/>
            <a:chOff x="11820525" y="704850"/>
            <a:chExt cx="577516" cy="466725"/>
          </a:xfrm>
        </xdr:grpSpPr>
        <xdr:pic macro="[0]!ReportSave">
          <xdr:nvPicPr>
            <xdr:cNvPr id="5" name="Picture 4" descr="https://www.skillcollector.com/wp-content/uploads/2015/06/pdf-icon-copy-min.png"/>
            <xdr:cNvPicPr/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820530" y="704850"/>
              <a:ext cx="401964" cy="361950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6" name="TextBox 5"/>
            <xdr:cNvSpPr txBox="1"/>
          </xdr:nvSpPr>
          <xdr:spPr>
            <a:xfrm>
              <a:off x="11820525" y="990600"/>
              <a:ext cx="577516" cy="1809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000" b="1">
                  <a:solidFill>
                    <a:schemeClr val="bg1"/>
                  </a:solidFill>
                </a:rPr>
                <a:t>Save</a:t>
              </a:r>
            </a:p>
          </xdr:txBody>
        </xdr:sp>
      </xdr:grpSp>
    </xdr:grpSp>
    <xdr:clientData/>
  </xdr:twoCellAnchor>
  <xdr:twoCellAnchor>
    <xdr:from>
      <xdr:col>4</xdr:col>
      <xdr:colOff>0</xdr:colOff>
      <xdr:row>25</xdr:row>
      <xdr:rowOff>0</xdr:rowOff>
    </xdr:from>
    <xdr:to>
      <xdr:col>4</xdr:col>
      <xdr:colOff>0</xdr:colOff>
      <xdr:row>26</xdr:row>
      <xdr:rowOff>66675</xdr:rowOff>
    </xdr:to>
    <xdr:sp macro="" textlink="">
      <xdr:nvSpPr>
        <xdr:cNvPr id="9" name="Down Arrow 8"/>
        <xdr:cNvSpPr/>
      </xdr:nvSpPr>
      <xdr:spPr bwMode="auto">
        <a:xfrm>
          <a:off x="723900" y="4752975"/>
          <a:ext cx="0" cy="257175"/>
        </a:xfrm>
        <a:prstGeom prst="downArrow">
          <a:avLst/>
        </a:prstGeom>
        <a:solidFill>
          <a:schemeClr val="accent5">
            <a:lumMod val="40000"/>
            <a:lumOff val="6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200025</xdr:colOff>
      <xdr:row>24</xdr:row>
      <xdr:rowOff>0</xdr:rowOff>
    </xdr:from>
    <xdr:to>
      <xdr:col>3</xdr:col>
      <xdr:colOff>520065</xdr:colOff>
      <xdr:row>24</xdr:row>
      <xdr:rowOff>457200</xdr:rowOff>
    </xdr:to>
    <xdr:sp macro="" textlink="">
      <xdr:nvSpPr>
        <xdr:cNvPr id="10" name="Down Arrow 9"/>
        <xdr:cNvSpPr/>
      </xdr:nvSpPr>
      <xdr:spPr>
        <a:xfrm>
          <a:off x="1104900" y="5676900"/>
          <a:ext cx="320040" cy="457200"/>
        </a:xfrm>
        <a:prstGeom prst="downArrow">
          <a:avLst/>
        </a:prstGeom>
        <a:solidFill>
          <a:srgbClr val="77B8E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180975</xdr:colOff>
      <xdr:row>24</xdr:row>
      <xdr:rowOff>0</xdr:rowOff>
    </xdr:from>
    <xdr:to>
      <xdr:col>10</xdr:col>
      <xdr:colOff>501015</xdr:colOff>
      <xdr:row>24</xdr:row>
      <xdr:rowOff>457200</xdr:rowOff>
    </xdr:to>
    <xdr:sp macro="" textlink="">
      <xdr:nvSpPr>
        <xdr:cNvPr id="11" name="Down Arrow 10"/>
        <xdr:cNvSpPr/>
      </xdr:nvSpPr>
      <xdr:spPr>
        <a:xfrm>
          <a:off x="3905250" y="5676900"/>
          <a:ext cx="320040" cy="457200"/>
        </a:xfrm>
        <a:prstGeom prst="downArrow">
          <a:avLst/>
        </a:prstGeom>
        <a:solidFill>
          <a:srgbClr val="77B8E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211931</xdr:colOff>
      <xdr:row>25</xdr:row>
      <xdr:rowOff>0</xdr:rowOff>
    </xdr:from>
    <xdr:to>
      <xdr:col>22</xdr:col>
      <xdr:colOff>531971</xdr:colOff>
      <xdr:row>25</xdr:row>
      <xdr:rowOff>0</xdr:rowOff>
    </xdr:to>
    <xdr:sp macro="" textlink="">
      <xdr:nvSpPr>
        <xdr:cNvPr id="13" name="Down Arrow 12"/>
        <xdr:cNvSpPr/>
      </xdr:nvSpPr>
      <xdr:spPr>
        <a:xfrm flipV="1">
          <a:off x="7193756" y="4752975"/>
          <a:ext cx="320040" cy="0"/>
        </a:xfrm>
        <a:prstGeom prst="downArrow">
          <a:avLst/>
        </a:prstGeom>
        <a:solidFill>
          <a:srgbClr val="77B8E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179070</xdr:colOff>
      <xdr:row>15</xdr:row>
      <xdr:rowOff>12749</xdr:rowOff>
    </xdr:from>
    <xdr:to>
      <xdr:col>3</xdr:col>
      <xdr:colOff>828675</xdr:colOff>
      <xdr:row>18</xdr:row>
      <xdr:rowOff>3</xdr:rowOff>
    </xdr:to>
    <xdr:sp macro="" textlink="">
      <xdr:nvSpPr>
        <xdr:cNvPr id="20" name="Round Same Side Corner Rectangle 19"/>
        <xdr:cNvSpPr/>
      </xdr:nvSpPr>
      <xdr:spPr bwMode="auto">
        <a:xfrm rot="5400000">
          <a:off x="657883" y="3010561"/>
          <a:ext cx="596854" cy="1554480"/>
        </a:xfrm>
        <a:prstGeom prst="round2Same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15621</xdr:colOff>
      <xdr:row>28</xdr:row>
      <xdr:rowOff>14287</xdr:rowOff>
    </xdr:from>
    <xdr:to>
      <xdr:col>3</xdr:col>
      <xdr:colOff>409575</xdr:colOff>
      <xdr:row>30</xdr:row>
      <xdr:rowOff>196024</xdr:rowOff>
    </xdr:to>
    <xdr:grpSp>
      <xdr:nvGrpSpPr>
        <xdr:cNvPr id="24" name="Group 23"/>
        <xdr:cNvGrpSpPr/>
      </xdr:nvGrpSpPr>
      <xdr:grpSpPr>
        <a:xfrm>
          <a:off x="196596" y="7196137"/>
          <a:ext cx="1117854" cy="438912"/>
          <a:chOff x="663319" y="5286375"/>
          <a:chExt cx="1067233" cy="270510"/>
        </a:xfrm>
      </xdr:grpSpPr>
      <xdr:sp macro="" textlink="">
        <xdr:nvSpPr>
          <xdr:cNvPr id="25" name="Isosceles Triangle 24"/>
          <xdr:cNvSpPr/>
        </xdr:nvSpPr>
        <xdr:spPr>
          <a:xfrm rot="5400000">
            <a:off x="1525574" y="5351907"/>
            <a:ext cx="270510" cy="139446"/>
          </a:xfrm>
          <a:prstGeom prst="triangle">
            <a:avLst/>
          </a:prstGeom>
          <a:solidFill>
            <a:srgbClr val="007AC9"/>
          </a:solidFill>
          <a:ln>
            <a:solidFill>
              <a:srgbClr val="007AC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000"/>
          </a:p>
        </xdr:txBody>
      </xdr:sp>
      <xdr:sp macro="" textlink="">
        <xdr:nvSpPr>
          <xdr:cNvPr id="26" name="Rectangle 25"/>
          <xdr:cNvSpPr/>
        </xdr:nvSpPr>
        <xdr:spPr>
          <a:xfrm rot="5400000">
            <a:off x="985264" y="4964430"/>
            <a:ext cx="270510" cy="914400"/>
          </a:xfrm>
          <a:prstGeom prst="rect">
            <a:avLst/>
          </a:prstGeom>
          <a:solidFill>
            <a:srgbClr val="007AC9"/>
          </a:solidFill>
          <a:ln>
            <a:solidFill>
              <a:srgbClr val="007AC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45720" rtlCol="0" anchor="ctr"/>
          <a:lstStyle/>
          <a:p>
            <a:pPr algn="l"/>
            <a:r>
              <a:rPr lang="en-US" sz="1000" b="1">
                <a:latin typeface="Arial Narrow" panose="020B0606020202030204" pitchFamily="34" charset="0"/>
              </a:rPr>
              <a:t>Customer</a:t>
            </a:r>
          </a:p>
          <a:p>
            <a:pPr algn="l"/>
            <a:r>
              <a:rPr lang="en-US" sz="1000" b="1">
                <a:latin typeface="Arial Narrow" panose="020B0606020202030204" pitchFamily="34" charset="0"/>
              </a:rPr>
              <a:t>Information</a:t>
            </a:r>
          </a:p>
        </xdr:txBody>
      </xdr:sp>
    </xdr:grpSp>
    <xdr:clientData/>
  </xdr:twoCellAnchor>
  <xdr:twoCellAnchor>
    <xdr:from>
      <xdr:col>1</xdr:col>
      <xdr:colOff>0</xdr:colOff>
      <xdr:row>74</xdr:row>
      <xdr:rowOff>85725</xdr:rowOff>
    </xdr:from>
    <xdr:to>
      <xdr:col>28</xdr:col>
      <xdr:colOff>0</xdr:colOff>
      <xdr:row>76</xdr:row>
      <xdr:rowOff>0</xdr:rowOff>
    </xdr:to>
    <xdr:sp macro="" textlink="">
      <xdr:nvSpPr>
        <xdr:cNvPr id="27" name="Rectangle 26"/>
        <xdr:cNvSpPr/>
      </xdr:nvSpPr>
      <xdr:spPr>
        <a:xfrm>
          <a:off x="314325" y="13801725"/>
          <a:ext cx="8820150" cy="238125"/>
        </a:xfrm>
        <a:prstGeom prst="rect">
          <a:avLst/>
        </a:prstGeom>
        <a:solidFill>
          <a:srgbClr val="EBEDE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>
              <a:solidFill>
                <a:srgbClr val="007AC9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© 2016 Ecolab USA Inc. | All Rights Reserved | Confidential and Proprietary Information!!!</a:t>
          </a:r>
        </a:p>
      </xdr:txBody>
    </xdr:sp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153787</xdr:colOff>
      <xdr:row>4</xdr:row>
      <xdr:rowOff>64922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323850"/>
          <a:ext cx="2011162" cy="388772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36</xdr:row>
      <xdr:rowOff>0</xdr:rowOff>
    </xdr:from>
    <xdr:to>
      <xdr:col>26</xdr:col>
      <xdr:colOff>102870</xdr:colOff>
      <xdr:row>51</xdr:row>
      <xdr:rowOff>0</xdr:rowOff>
    </xdr:to>
    <xdr:sp macro="" textlink="" fLocksText="0">
      <xdr:nvSpPr>
        <xdr:cNvPr id="36" name="TextBox 35"/>
        <xdr:cNvSpPr txBox="1"/>
      </xdr:nvSpPr>
      <xdr:spPr>
        <a:xfrm>
          <a:off x="4552950" y="6705600"/>
          <a:ext cx="4389120" cy="2857500"/>
        </a:xfrm>
        <a:prstGeom prst="rect">
          <a:avLst/>
        </a:prstGeom>
        <a:noFill/>
        <a:ln w="9525" cmpd="sng">
          <a:noFill/>
          <a:prstDash val="lg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>
              <a:latin typeface="Arial Narrow" panose="020B0606020202030204" pitchFamily="34" charset="0"/>
              <a:cs typeface="Arial" panose="020B0604020202020204" pitchFamily="34" charset="0"/>
            </a:rPr>
            <a:t>Text</a:t>
          </a:r>
          <a:r>
            <a:rPr lang="en-US" sz="1050" b="1" baseline="0">
              <a:latin typeface="Arial Narrow" panose="020B0606020202030204" pitchFamily="34" charset="0"/>
              <a:cs typeface="Arial" panose="020B0604020202020204" pitchFamily="34" charset="0"/>
            </a:rPr>
            <a:t> here</a:t>
          </a:r>
          <a:endParaRPr lang="en-US" sz="1050" b="1">
            <a:latin typeface="Arial Narrow" panose="020B0606020202030204" pitchFamily="34" charset="0"/>
            <a:cs typeface="Arial" panose="020B0604020202020204" pitchFamily="34" charset="0"/>
          </a:endParaRPr>
        </a:p>
        <a:p>
          <a:pPr algn="l"/>
          <a:endParaRPr lang="en-US" sz="1050" b="0">
            <a:latin typeface="Arial Narrow" panose="020B060602020203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13</xdr:col>
      <xdr:colOff>19049</xdr:colOff>
      <xdr:row>54</xdr:row>
      <xdr:rowOff>1</xdr:rowOff>
    </xdr:from>
    <xdr:to>
      <xdr:col>27</xdr:col>
      <xdr:colOff>7619</xdr:colOff>
      <xdr:row>70</xdr:row>
      <xdr:rowOff>185929</xdr:rowOff>
    </xdr:to>
    <xdr:sp macro="" textlink="" fLocksText="0">
      <xdr:nvSpPr>
        <xdr:cNvPr id="37" name="TextBox 36"/>
        <xdr:cNvSpPr txBox="1"/>
      </xdr:nvSpPr>
      <xdr:spPr>
        <a:xfrm>
          <a:off x="4571999" y="10001251"/>
          <a:ext cx="4389120" cy="3233928"/>
        </a:xfrm>
        <a:prstGeom prst="rect">
          <a:avLst/>
        </a:prstGeom>
        <a:noFill/>
        <a:ln w="9525" cmpd="sng">
          <a:noFill/>
          <a:prstDash val="lg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>
              <a:latin typeface="Arial Narrow" panose="020B0606020202030204" pitchFamily="34" charset="0"/>
              <a:cs typeface="Arial" panose="020B0604020202020204" pitchFamily="34" charset="0"/>
            </a:rPr>
            <a:t>Text here</a:t>
          </a:r>
        </a:p>
        <a:p>
          <a:pPr algn="l"/>
          <a:endParaRPr lang="en-US" sz="900" b="1">
            <a:latin typeface="Arial Narrow" panose="020B060602020203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5</xdr:col>
      <xdr:colOff>95248</xdr:colOff>
      <xdr:row>57</xdr:row>
      <xdr:rowOff>95250</xdr:rowOff>
    </xdr:from>
    <xdr:to>
      <xdr:col>10</xdr:col>
      <xdr:colOff>889633</xdr:colOff>
      <xdr:row>57</xdr:row>
      <xdr:rowOff>95250</xdr:rowOff>
    </xdr:to>
    <xdr:cxnSp macro="">
      <xdr:nvCxnSpPr>
        <xdr:cNvPr id="38" name="Straight Connector 37"/>
        <xdr:cNvCxnSpPr/>
      </xdr:nvCxnSpPr>
      <xdr:spPr>
        <a:xfrm>
          <a:off x="2419348" y="12477750"/>
          <a:ext cx="219456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542925</xdr:colOff>
      <xdr:row>66</xdr:row>
      <xdr:rowOff>104775</xdr:rowOff>
    </xdr:from>
    <xdr:to>
      <xdr:col>11</xdr:col>
      <xdr:colOff>36195</xdr:colOff>
      <xdr:row>66</xdr:row>
      <xdr:rowOff>104775</xdr:rowOff>
    </xdr:to>
    <xdr:cxnSp macro="">
      <xdr:nvCxnSpPr>
        <xdr:cNvPr id="39" name="Straight Connector 38"/>
        <xdr:cNvCxnSpPr/>
      </xdr:nvCxnSpPr>
      <xdr:spPr bwMode="auto">
        <a:xfrm>
          <a:off x="1847850" y="12392025"/>
          <a:ext cx="157924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133350</xdr:colOff>
      <xdr:row>65</xdr:row>
      <xdr:rowOff>114300</xdr:rowOff>
    </xdr:from>
    <xdr:to>
      <xdr:col>8</xdr:col>
      <xdr:colOff>89535</xdr:colOff>
      <xdr:row>65</xdr:row>
      <xdr:rowOff>114300</xdr:rowOff>
    </xdr:to>
    <xdr:cxnSp macro="">
      <xdr:nvCxnSpPr>
        <xdr:cNvPr id="40" name="Straight Connector 39"/>
        <xdr:cNvCxnSpPr/>
      </xdr:nvCxnSpPr>
      <xdr:spPr bwMode="auto">
        <a:xfrm>
          <a:off x="2581275" y="12211050"/>
          <a:ext cx="8953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58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21</xdr:col>
      <xdr:colOff>171448</xdr:colOff>
      <xdr:row>27</xdr:row>
      <xdr:rowOff>228782</xdr:rowOff>
    </xdr:from>
    <xdr:to>
      <xdr:col>26</xdr:col>
      <xdr:colOff>44575</xdr:colOff>
      <xdr:row>31</xdr:row>
      <xdr:rowOff>16946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48" y="7143932"/>
          <a:ext cx="2587752" cy="512064"/>
        </a:xfrm>
        <a:prstGeom prst="rect">
          <a:avLst/>
        </a:prstGeom>
      </xdr:spPr>
    </xdr:pic>
    <xdr:clientData/>
  </xdr:twoCellAnchor>
  <xdr:twoCellAnchor>
    <xdr:from>
      <xdr:col>2</xdr:col>
      <xdr:colOff>19051</xdr:colOff>
      <xdr:row>52</xdr:row>
      <xdr:rowOff>0</xdr:rowOff>
    </xdr:from>
    <xdr:to>
      <xdr:col>11</xdr:col>
      <xdr:colOff>695326</xdr:colOff>
      <xdr:row>71</xdr:row>
      <xdr:rowOff>0</xdr:rowOff>
    </xdr:to>
    <xdr:grpSp>
      <xdr:nvGrpSpPr>
        <xdr:cNvPr id="45" name="Group 44"/>
        <xdr:cNvGrpSpPr/>
      </xdr:nvGrpSpPr>
      <xdr:grpSpPr>
        <a:xfrm>
          <a:off x="866776" y="11563350"/>
          <a:ext cx="4762500" cy="3486150"/>
          <a:chOff x="514350" y="9753600"/>
          <a:chExt cx="3695700" cy="3486150"/>
        </a:xfrm>
      </xdr:grpSpPr>
      <xdr:sp macro="" textlink="">
        <xdr:nvSpPr>
          <xdr:cNvPr id="46" name="Rectangle 45"/>
          <xdr:cNvSpPr/>
        </xdr:nvSpPr>
        <xdr:spPr bwMode="auto">
          <a:xfrm>
            <a:off x="514350" y="9753600"/>
            <a:ext cx="3695700" cy="3486150"/>
          </a:xfrm>
          <a:prstGeom prst="rect">
            <a:avLst/>
          </a:prstGeom>
          <a:noFill/>
          <a:ln w="12700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sp macro="" textlink="">
        <xdr:nvSpPr>
          <xdr:cNvPr id="47" name="Rectangle 46"/>
          <xdr:cNvSpPr/>
        </xdr:nvSpPr>
        <xdr:spPr bwMode="auto">
          <a:xfrm>
            <a:off x="514350" y="9763125"/>
            <a:ext cx="3695700" cy="256032"/>
          </a:xfrm>
          <a:prstGeom prst="rect">
            <a:avLst/>
          </a:prstGeom>
          <a:solidFill>
            <a:srgbClr val="007AC9"/>
          </a:solidFill>
          <a:ln w="12700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Arial Narrow" panose="020B0606020202030204" pitchFamily="34" charset="0"/>
              </a:rPr>
              <a:t>Return On Investment</a:t>
            </a:r>
          </a:p>
        </xdr:txBody>
      </xdr:sp>
    </xdr:grpSp>
    <xdr:clientData/>
  </xdr:twoCellAnchor>
  <xdr:twoCellAnchor>
    <xdr:from>
      <xdr:col>17</xdr:col>
      <xdr:colOff>314325</xdr:colOff>
      <xdr:row>0</xdr:row>
      <xdr:rowOff>0</xdr:rowOff>
    </xdr:from>
    <xdr:to>
      <xdr:col>28</xdr:col>
      <xdr:colOff>0</xdr:colOff>
      <xdr:row>0</xdr:row>
      <xdr:rowOff>147476</xdr:rowOff>
    </xdr:to>
    <xdr:grpSp>
      <xdr:nvGrpSpPr>
        <xdr:cNvPr id="48" name="Group 47"/>
        <xdr:cNvGrpSpPr/>
      </xdr:nvGrpSpPr>
      <xdr:grpSpPr>
        <a:xfrm>
          <a:off x="6848475" y="0"/>
          <a:ext cx="5200650" cy="147476"/>
          <a:chOff x="8791576" y="6290"/>
          <a:chExt cx="3415519" cy="147476"/>
        </a:xfrm>
      </xdr:grpSpPr>
      <xdr:sp macro="" textlink="">
        <xdr:nvSpPr>
          <xdr:cNvPr id="49" name="Rectangle 48">
            <a:hlinkClick xmlns:r="http://schemas.openxmlformats.org/officeDocument/2006/relationships" r:id="rId5" tooltip="Instructions"/>
          </xdr:cNvPr>
          <xdr:cNvSpPr/>
        </xdr:nvSpPr>
        <xdr:spPr>
          <a:xfrm>
            <a:off x="8791576" y="6290"/>
            <a:ext cx="91440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Instructions</a:t>
            </a:r>
            <a:r>
              <a:rPr lang="en-US" sz="1000" b="1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|</a:t>
            </a:r>
          </a:p>
        </xdr:txBody>
      </xdr:sp>
      <xdr:sp macro="" textlink="">
        <xdr:nvSpPr>
          <xdr:cNvPr id="50" name="Rectangle 49">
            <a:hlinkClick xmlns:r="http://schemas.openxmlformats.org/officeDocument/2006/relationships" r:id="rId6" tooltip="Value Calc"/>
          </xdr:cNvPr>
          <xdr:cNvSpPr/>
        </xdr:nvSpPr>
        <xdr:spPr>
          <a:xfrm>
            <a:off x="9716722" y="6290"/>
            <a:ext cx="109728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1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TCO </a:t>
            </a:r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Calculator</a:t>
            </a:r>
            <a:r>
              <a:rPr lang="en-US" sz="1000" b="1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 |</a:t>
            </a:r>
          </a:p>
        </xdr:txBody>
      </xdr:sp>
      <xdr:sp macro="" textlink="">
        <xdr:nvSpPr>
          <xdr:cNvPr id="51" name="Rectangle 50">
            <a:hlinkClick xmlns:r="http://schemas.openxmlformats.org/officeDocument/2006/relationships" r:id="rId7" tooltip="Report"/>
          </xdr:cNvPr>
          <xdr:cNvSpPr/>
        </xdr:nvSpPr>
        <xdr:spPr>
          <a:xfrm>
            <a:off x="10824748" y="6290"/>
            <a:ext cx="64008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1" i="0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Report   |</a:t>
            </a:r>
          </a:p>
        </xdr:txBody>
      </xdr:sp>
      <xdr:sp macro="" textlink="">
        <xdr:nvSpPr>
          <xdr:cNvPr id="52" name="Rectangle 51">
            <a:hlinkClick xmlns:r="http://schemas.openxmlformats.org/officeDocument/2006/relationships" r:id="rId8" tooltip="Eq"/>
          </xdr:cNvPr>
          <xdr:cNvSpPr/>
        </xdr:nvSpPr>
        <xdr:spPr>
          <a:xfrm>
            <a:off x="11475574" y="6290"/>
            <a:ext cx="731521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Equations</a:t>
            </a:r>
            <a:r>
              <a:rPr lang="en-US" sz="1000" b="1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| </a:t>
            </a:r>
          </a:p>
        </xdr:txBody>
      </xdr:sp>
    </xdr:grpSp>
    <xdr:clientData/>
  </xdr:twoCellAnchor>
  <xdr:twoCellAnchor>
    <xdr:from>
      <xdr:col>0</xdr:col>
      <xdr:colOff>0</xdr:colOff>
      <xdr:row>6</xdr:row>
      <xdr:rowOff>0</xdr:rowOff>
    </xdr:from>
    <xdr:to>
      <xdr:col>28</xdr:col>
      <xdr:colOff>0</xdr:colOff>
      <xdr:row>9</xdr:row>
      <xdr:rowOff>9525</xdr:rowOff>
    </xdr:to>
    <xdr:sp macro="" textlink="">
      <xdr:nvSpPr>
        <xdr:cNvPr id="53" name="TextBox 52"/>
        <xdr:cNvSpPr txBox="1"/>
      </xdr:nvSpPr>
      <xdr:spPr>
        <a:xfrm>
          <a:off x="0" y="971550"/>
          <a:ext cx="12049125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US" sz="2800" b="1">
              <a:solidFill>
                <a:srgbClr val="007AC9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Water Savings by Increasing Tower Cycles</a:t>
          </a:r>
          <a:endParaRPr lang="en-US" sz="7200" b="1" cap="none" spc="150">
            <a:ln w="11430"/>
            <a:solidFill>
              <a:srgbClr val="007AC9"/>
            </a:solidFill>
            <a:effectLst>
              <a:outerShdw blurRad="25400" algn="tl" rotWithShape="0">
                <a:srgbClr val="000000">
                  <a:alpha val="43000"/>
                </a:srgbClr>
              </a:out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3</xdr:col>
      <xdr:colOff>733425</xdr:colOff>
      <xdr:row>36</xdr:row>
      <xdr:rowOff>28575</xdr:rowOff>
    </xdr:from>
    <xdr:to>
      <xdr:col>11</xdr:col>
      <xdr:colOff>361493</xdr:colOff>
      <xdr:row>46</xdr:row>
      <xdr:rowOff>75956</xdr:rowOff>
    </xdr:to>
    <xdr:pic>
      <xdr:nvPicPr>
        <xdr:cNvPr id="55" name="Picture 54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38300" y="8524875"/>
          <a:ext cx="3657143" cy="1952381"/>
        </a:xfrm>
        <a:prstGeom prst="round2DiagRect">
          <a:avLst>
            <a:gd name="adj1" fmla="val 16667"/>
            <a:gd name="adj2" fmla="val 0"/>
          </a:avLst>
        </a:prstGeom>
        <a:ln w="88900" cap="sq">
          <a:noFill/>
          <a:miter lim="800000"/>
        </a:ln>
        <a:effectLst/>
      </xdr:spPr>
    </xdr:pic>
    <xdr:clientData/>
  </xdr:twoCellAnchor>
  <xdr:twoCellAnchor editAs="oneCell">
    <xdr:from>
      <xdr:col>1</xdr:col>
      <xdr:colOff>228600</xdr:colOff>
      <xdr:row>15</xdr:row>
      <xdr:rowOff>95250</xdr:rowOff>
    </xdr:from>
    <xdr:to>
      <xdr:col>3</xdr:col>
      <xdr:colOff>449579</xdr:colOff>
      <xdr:row>17</xdr:row>
      <xdr:rowOff>128778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3571875"/>
          <a:ext cx="944879" cy="414528"/>
        </a:xfrm>
        <a:prstGeom prst="rect">
          <a:avLst/>
        </a:prstGeom>
      </xdr:spPr>
    </xdr:pic>
    <xdr:clientData/>
  </xdr:twoCellAnchor>
  <xdr:twoCellAnchor editAs="oneCell">
    <xdr:from>
      <xdr:col>3</xdr:col>
      <xdr:colOff>114301</xdr:colOff>
      <xdr:row>20</xdr:row>
      <xdr:rowOff>142876</xdr:rowOff>
    </xdr:from>
    <xdr:to>
      <xdr:col>3</xdr:col>
      <xdr:colOff>644653</xdr:colOff>
      <xdr:row>21</xdr:row>
      <xdr:rowOff>501778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176" y="4686301"/>
          <a:ext cx="530352" cy="530352"/>
        </a:xfrm>
        <a:prstGeom prst="rect">
          <a:avLst/>
        </a:prstGeom>
      </xdr:spPr>
    </xdr:pic>
    <xdr:clientData/>
  </xdr:twoCellAnchor>
  <xdr:twoCellAnchor editAs="oneCell">
    <xdr:from>
      <xdr:col>3</xdr:col>
      <xdr:colOff>809624</xdr:colOff>
      <xdr:row>21</xdr:row>
      <xdr:rowOff>3892</xdr:rowOff>
    </xdr:from>
    <xdr:to>
      <xdr:col>6</xdr:col>
      <xdr:colOff>396620</xdr:colOff>
      <xdr:row>21</xdr:row>
      <xdr:rowOff>461092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499" y="4718767"/>
          <a:ext cx="1225296" cy="457200"/>
        </a:xfrm>
        <a:prstGeom prst="rect">
          <a:avLst/>
        </a:prstGeom>
      </xdr:spPr>
    </xdr:pic>
    <xdr:clientData/>
  </xdr:twoCellAnchor>
  <xdr:twoCellAnchor editAs="oneCell">
    <xdr:from>
      <xdr:col>10</xdr:col>
      <xdr:colOff>85725</xdr:colOff>
      <xdr:row>20</xdr:row>
      <xdr:rowOff>133350</xdr:rowOff>
    </xdr:from>
    <xdr:to>
      <xdr:col>10</xdr:col>
      <xdr:colOff>616077</xdr:colOff>
      <xdr:row>21</xdr:row>
      <xdr:rowOff>492252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4676775"/>
          <a:ext cx="530352" cy="530352"/>
        </a:xfrm>
        <a:prstGeom prst="rect">
          <a:avLst/>
        </a:prstGeom>
      </xdr:spPr>
    </xdr:pic>
    <xdr:clientData/>
  </xdr:twoCellAnchor>
  <xdr:twoCellAnchor editAs="oneCell">
    <xdr:from>
      <xdr:col>10</xdr:col>
      <xdr:colOff>771526</xdr:colOff>
      <xdr:row>21</xdr:row>
      <xdr:rowOff>28575</xdr:rowOff>
    </xdr:from>
    <xdr:to>
      <xdr:col>11</xdr:col>
      <xdr:colOff>823723</xdr:colOff>
      <xdr:row>21</xdr:row>
      <xdr:rowOff>485775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1" y="4743450"/>
          <a:ext cx="1261872" cy="457200"/>
        </a:xfrm>
        <a:prstGeom prst="rect">
          <a:avLst/>
        </a:prstGeom>
      </xdr:spPr>
    </xdr:pic>
    <xdr:clientData/>
  </xdr:twoCellAnchor>
  <xdr:twoCellAnchor>
    <xdr:from>
      <xdr:col>24</xdr:col>
      <xdr:colOff>514350</xdr:colOff>
      <xdr:row>18</xdr:row>
      <xdr:rowOff>47625</xdr:rowOff>
    </xdr:from>
    <xdr:to>
      <xdr:col>25</xdr:col>
      <xdr:colOff>161925</xdr:colOff>
      <xdr:row>19</xdr:row>
      <xdr:rowOff>0</xdr:rowOff>
    </xdr:to>
    <xdr:sp macro="" textlink="">
      <xdr:nvSpPr>
        <xdr:cNvPr id="42" name="Isosceles Triangle 41"/>
        <xdr:cNvSpPr/>
      </xdr:nvSpPr>
      <xdr:spPr bwMode="auto">
        <a:xfrm flipH="1">
          <a:off x="10458450" y="4133850"/>
          <a:ext cx="323850" cy="257175"/>
        </a:xfrm>
        <a:prstGeom prst="triangl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657225</xdr:colOff>
      <xdr:row>11</xdr:row>
      <xdr:rowOff>28575</xdr:rowOff>
    </xdr:from>
    <xdr:to>
      <xdr:col>11</xdr:col>
      <xdr:colOff>1047751</xdr:colOff>
      <xdr:row>11</xdr:row>
      <xdr:rowOff>438150</xdr:rowOff>
    </xdr:to>
    <xdr:sp macro="" textlink="">
      <xdr:nvSpPr>
        <xdr:cNvPr id="43" name="TextBox 42"/>
        <xdr:cNvSpPr txBox="1"/>
      </xdr:nvSpPr>
      <xdr:spPr>
        <a:xfrm>
          <a:off x="5591175" y="1971675"/>
          <a:ext cx="390526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0">
              <a:solidFill>
                <a:schemeClr val="bg1"/>
              </a:solidFill>
              <a:latin typeface="+mn-lt"/>
            </a:rPr>
            <a:t>&gt;</a:t>
          </a:r>
        </a:p>
      </xdr:txBody>
    </xdr:sp>
    <xdr:clientData/>
  </xdr:twoCellAnchor>
  <xdr:twoCellAnchor>
    <xdr:from>
      <xdr:col>19</xdr:col>
      <xdr:colOff>466725</xdr:colOff>
      <xdr:row>11</xdr:row>
      <xdr:rowOff>28575</xdr:rowOff>
    </xdr:from>
    <xdr:to>
      <xdr:col>19</xdr:col>
      <xdr:colOff>857251</xdr:colOff>
      <xdr:row>11</xdr:row>
      <xdr:rowOff>438150</xdr:rowOff>
    </xdr:to>
    <xdr:sp macro="" textlink="">
      <xdr:nvSpPr>
        <xdr:cNvPr id="44" name="TextBox 43"/>
        <xdr:cNvSpPr txBox="1"/>
      </xdr:nvSpPr>
      <xdr:spPr>
        <a:xfrm>
          <a:off x="8391525" y="1971675"/>
          <a:ext cx="390526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0">
              <a:solidFill>
                <a:schemeClr val="bg1"/>
              </a:solidFill>
              <a:latin typeface="+mn-lt"/>
            </a:rPr>
            <a:t>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390524</xdr:colOff>
      <xdr:row>6</xdr:row>
      <xdr:rowOff>142874</xdr:rowOff>
    </xdr:from>
    <xdr:to>
      <xdr:col>17</xdr:col>
      <xdr:colOff>314325</xdr:colOff>
      <xdr:row>52</xdr:row>
      <xdr:rowOff>85725</xdr:rowOff>
    </xdr:to>
    <xdr:sp macro="" textlink="">
      <xdr:nvSpPr>
        <xdr:cNvPr id="2" name="Round Diagonal Corner Rectangle 1"/>
        <xdr:cNvSpPr/>
      </xdr:nvSpPr>
      <xdr:spPr bwMode="auto">
        <a:xfrm>
          <a:off x="704849" y="1114424"/>
          <a:ext cx="9677401" cy="7391401"/>
        </a:xfrm>
        <a:prstGeom prst="round2Diag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  <a:extLst/>
      </xdr:spPr>
      <xdr:txBody>
        <a:bodyPr vertOverflow="clip" horzOverflow="clip" wrap="square" lIns="0" tIns="0" rIns="0" bIns="0" rtlCol="0" anchor="t" upright="1"/>
        <a:lstStyle/>
        <a:p>
          <a:pPr algn="ctr"/>
          <a:r>
            <a:rPr lang="en-US" sz="1800">
              <a:effectLst/>
              <a:latin typeface="Arial Narrow" panose="020B0606020202030204" pitchFamily="34" charset="0"/>
              <a:ea typeface="+mn-ea"/>
              <a:cs typeface="+mn-cs"/>
            </a:rPr>
            <a:t>	</a:t>
          </a:r>
          <a:r>
            <a:rPr lang="en-US" sz="2400" b="1">
              <a:effectLst/>
              <a:latin typeface="Arial Narrow" panose="020B0606020202030204" pitchFamily="34" charset="0"/>
              <a:ea typeface="+mn-ea"/>
              <a:cs typeface="+mn-cs"/>
            </a:rPr>
            <a:t>SELECT EQUATIONS (US version)</a:t>
          </a:r>
        </a:p>
        <a:p>
          <a:endParaRPr lang="en-US" sz="1600" b="1">
            <a:effectLst/>
            <a:latin typeface="Arial Narrow" panose="020B0606020202030204" pitchFamily="34" charset="0"/>
            <a:ea typeface="+mn-ea"/>
            <a:cs typeface="+mn-cs"/>
          </a:endParaRPr>
        </a:p>
        <a:p>
          <a:r>
            <a:rPr lang="en-US" sz="1800" b="1">
              <a:effectLst/>
              <a:latin typeface="Arial Narrow" panose="020B0606020202030204" pitchFamily="34" charset="0"/>
              <a:ea typeface="+mn-ea"/>
              <a:cs typeface="+mn-cs"/>
            </a:rPr>
            <a:t>Cooling Tower Information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E = Evaporation Rate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MU = Makeup Rate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BD = Blowdown Rate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CR = Concentration Ratio RR = Recirculation Rate HTI = Holding Time Index V = System Volume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M = M Alkalinity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D = Drift = approx 0.03 – 0.2% of RR D in well designed tower = 0.0005% SHF = 0.85 if oF, 1.53 if oC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E = RR  *  • T  *  oF 0.00085 E = RR  *  • T  *  oC 0.00153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E = 1 lb H2 0 / 1000 BTU (approx) E = RR * 0.85% per 10 oF delta T E = RR * • T * 0.001 * SHF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(E * CR) / MU = (CR - 1) MU = BD * CR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MU = E + BD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BD = E / (CR – 1)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HTI = 0.693 *  ( V / BD )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CR = Tower Ca / MU Ca CR = Tower Mg / MU Mg</a:t>
          </a:r>
        </a:p>
        <a:p>
          <a:pPr lvl="1"/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CR = Tower Conductivity/ MU Conductivity CR = MU / BD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lb/Day  = 12,000 * GPM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MM lb/Day  = 0.012 * GPM lb/Hr  = 500 * GPM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1 ppm 660 Baume' H2SO4 reduces  "M" by 1 ppm Density of 66 Baume' H2SO4  = 15.3 lb/gal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Acid required (lbs/day) =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(0.012)* [MU(gpm)] * (MU M – Desired Tower M / CR)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</a:p>
        <a:p>
          <a:r>
            <a:rPr lang="en-US" sz="1200" b="1">
              <a:effectLst/>
              <a:latin typeface="Arial Narrow" panose="020B0606020202030204" pitchFamily="34" charset="0"/>
              <a:ea typeface="+mn-ea"/>
              <a:cs typeface="+mn-cs"/>
            </a:rPr>
            <a:t>Chlorine feed estimate (to hold 0.3 ppm residual)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Ib chlorine gas/day = RR (gpm ) * 0.005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</a:p>
        <a:p>
          <a:r>
            <a:rPr lang="en-US" sz="1200" b="1">
              <a:effectLst/>
              <a:latin typeface="Arial Narrow" panose="020B0606020202030204" pitchFamily="34" charset="0"/>
              <a:ea typeface="+mn-ea"/>
              <a:cs typeface="+mn-cs"/>
            </a:rPr>
            <a:t>Continuous Dosing Inhibitor to a tower based on MU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lb product = (MU(gal) * 8.34 * (Tower Dosage ppm)        CR 1,000,000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</a:p>
        <a:p>
          <a:r>
            <a:rPr lang="en-US" sz="1200" b="1">
              <a:effectLst/>
              <a:latin typeface="Arial Narrow" panose="020B0606020202030204" pitchFamily="34" charset="0"/>
              <a:ea typeface="+mn-ea"/>
              <a:cs typeface="+mn-cs"/>
            </a:rPr>
            <a:t>Continuous Dosing Inhibitor to a tower based on BD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lb product = [BD(gal) / 1,000,000] * 8.34 * ppm product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</a:p>
        <a:p>
          <a:r>
            <a:rPr lang="en-US" sz="1200" b="1">
              <a:effectLst/>
              <a:latin typeface="Arial Narrow" panose="020B0606020202030204" pitchFamily="34" charset="0"/>
              <a:ea typeface="+mn-ea"/>
              <a:cs typeface="+mn-cs"/>
            </a:rPr>
            <a:t>Slug Dosing to a tower</a:t>
          </a:r>
        </a:p>
        <a:p>
          <a:r>
            <a:rPr lang="en-US" sz="1200">
              <a:effectLst/>
              <a:latin typeface="Arial Narrow" panose="020B0606020202030204" pitchFamily="34" charset="0"/>
              <a:ea typeface="+mn-ea"/>
              <a:cs typeface="+mn-cs"/>
            </a:rPr>
            <a:t>lb product = [ V(gal) / 1,000,000] * 8.34 * ppm product	</a:t>
          </a:r>
          <a:endParaRPr lang="en-US" sz="1800">
            <a:effectLst/>
            <a:latin typeface="Arial Narrow" panose="020B060602020203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53</xdr:row>
      <xdr:rowOff>76200</xdr:rowOff>
    </xdr:from>
    <xdr:to>
      <xdr:col>17</xdr:col>
      <xdr:colOff>590550</xdr:colOff>
      <xdr:row>54</xdr:row>
      <xdr:rowOff>152400</xdr:rowOff>
    </xdr:to>
    <xdr:sp macro="" textlink="">
      <xdr:nvSpPr>
        <xdr:cNvPr id="3" name="Rectangle 2"/>
        <xdr:cNvSpPr/>
      </xdr:nvSpPr>
      <xdr:spPr>
        <a:xfrm>
          <a:off x="314325" y="7362825"/>
          <a:ext cx="12172950" cy="2381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2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4700"/>
                    </a14:imgEffect>
                  </a14:imgLayer>
                </a14:imgProps>
              </a:ext>
            </a:extLst>
          </a:blip>
          <a:srcRect/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>
              <a:solidFill>
                <a:srgbClr val="00B0F0"/>
              </a:solidFill>
              <a:latin typeface="+mn-lt"/>
            </a:rPr>
            <a:t>Copyright@ 2016 Nalco,</a:t>
          </a:r>
          <a:r>
            <a:rPr lang="en-US" sz="1050" baseline="0">
              <a:solidFill>
                <a:srgbClr val="00B0F0"/>
              </a:solidFill>
              <a:latin typeface="+mn-lt"/>
            </a:rPr>
            <a:t> An ECOLAB Company. </a:t>
          </a:r>
          <a:r>
            <a:rPr lang="en-US" sz="1050" b="1" baseline="0">
              <a:solidFill>
                <a:srgbClr val="00B0F0"/>
              </a:solidFill>
              <a:latin typeface="+mn-lt"/>
            </a:rPr>
            <a:t>Confidential: do not distribute</a:t>
          </a:r>
          <a:r>
            <a:rPr lang="en-US" sz="1050" baseline="0">
              <a:solidFill>
                <a:srgbClr val="00B0F0"/>
              </a:solidFill>
              <a:latin typeface="+mn-lt"/>
            </a:rPr>
            <a:t>!!! </a:t>
          </a:r>
          <a:endParaRPr lang="en-US" sz="1050">
            <a:solidFill>
              <a:srgbClr val="00B0F0"/>
            </a:solidFill>
            <a:latin typeface="+mn-lt"/>
          </a:endParaRPr>
        </a:p>
      </xdr:txBody>
    </xdr:sp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182362</xdr:colOff>
      <xdr:row>4</xdr:row>
      <xdr:rowOff>64922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323850"/>
          <a:ext cx="2011162" cy="388772"/>
        </a:xfrm>
        <a:prstGeom prst="rect">
          <a:avLst/>
        </a:prstGeom>
      </xdr:spPr>
    </xdr:pic>
    <xdr:clientData/>
  </xdr:twoCellAnchor>
  <xdr:twoCellAnchor>
    <xdr:from>
      <xdr:col>12</xdr:col>
      <xdr:colOff>266700</xdr:colOff>
      <xdr:row>0</xdr:row>
      <xdr:rowOff>0</xdr:rowOff>
    </xdr:from>
    <xdr:to>
      <xdr:col>18</xdr:col>
      <xdr:colOff>17145</xdr:colOff>
      <xdr:row>0</xdr:row>
      <xdr:rowOff>147476</xdr:rowOff>
    </xdr:to>
    <xdr:grpSp>
      <xdr:nvGrpSpPr>
        <xdr:cNvPr id="11" name="Group 10"/>
        <xdr:cNvGrpSpPr/>
      </xdr:nvGrpSpPr>
      <xdr:grpSpPr>
        <a:xfrm>
          <a:off x="7286625" y="0"/>
          <a:ext cx="3408045" cy="147476"/>
          <a:chOff x="8791576" y="6290"/>
          <a:chExt cx="3415519" cy="147476"/>
        </a:xfrm>
      </xdr:grpSpPr>
      <xdr:sp macro="" textlink="">
        <xdr:nvSpPr>
          <xdr:cNvPr id="12" name="Rectangle 11">
            <a:hlinkClick xmlns:r="http://schemas.openxmlformats.org/officeDocument/2006/relationships" r:id="rId4" tooltip="Instructions"/>
          </xdr:cNvPr>
          <xdr:cNvSpPr/>
        </xdr:nvSpPr>
        <xdr:spPr>
          <a:xfrm>
            <a:off x="8791576" y="6290"/>
            <a:ext cx="91440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Instructions</a:t>
            </a:r>
            <a:r>
              <a:rPr lang="en-US" sz="1000" b="1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|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 tooltip="Value Calc"/>
          </xdr:cNvPr>
          <xdr:cNvSpPr/>
        </xdr:nvSpPr>
        <xdr:spPr>
          <a:xfrm>
            <a:off x="9716722" y="6290"/>
            <a:ext cx="109728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TCO Calculator   |</a:t>
            </a:r>
          </a:p>
        </xdr:txBody>
      </xdr:sp>
      <xdr:sp macro="" textlink="">
        <xdr:nvSpPr>
          <xdr:cNvPr id="14" name="Rectangle 13">
            <a:hlinkClick xmlns:r="http://schemas.openxmlformats.org/officeDocument/2006/relationships" r:id="rId6" tooltip="Report"/>
          </xdr:cNvPr>
          <xdr:cNvSpPr/>
        </xdr:nvSpPr>
        <xdr:spPr>
          <a:xfrm>
            <a:off x="10824748" y="6290"/>
            <a:ext cx="64008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Report</a:t>
            </a:r>
            <a:r>
              <a:rPr lang="en-US" sz="1000" b="1" i="0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 |</a:t>
            </a:r>
          </a:p>
        </xdr:txBody>
      </xdr:sp>
      <xdr:sp macro="" textlink="">
        <xdr:nvSpPr>
          <xdr:cNvPr id="15" name="Rectangle 14">
            <a:hlinkClick xmlns:r="http://schemas.openxmlformats.org/officeDocument/2006/relationships" r:id="rId7" tooltip="Eq"/>
          </xdr:cNvPr>
          <xdr:cNvSpPr/>
        </xdr:nvSpPr>
        <xdr:spPr>
          <a:xfrm>
            <a:off x="11475574" y="6290"/>
            <a:ext cx="731521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1" i="0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Equations</a:t>
            </a:r>
            <a:r>
              <a:rPr lang="en-US" sz="1000" b="1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|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6</xdr:row>
      <xdr:rowOff>19050</xdr:rowOff>
    </xdr:from>
    <xdr:to>
      <xdr:col>18</xdr:col>
      <xdr:colOff>466725</xdr:colOff>
      <xdr:row>43</xdr:row>
      <xdr:rowOff>85725</xdr:rowOff>
    </xdr:to>
    <xdr:sp macro="" textlink="">
      <xdr:nvSpPr>
        <xdr:cNvPr id="2" name="Round Diagonal Corner Rectangle 1"/>
        <xdr:cNvSpPr/>
      </xdr:nvSpPr>
      <xdr:spPr bwMode="auto">
        <a:xfrm>
          <a:off x="638175" y="990600"/>
          <a:ext cx="10506075" cy="6057900"/>
        </a:xfrm>
        <a:prstGeom prst="round2Diag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  <a:extLst/>
      </xdr:spPr>
      <xdr:txBody>
        <a:bodyPr vertOverflow="clip" horzOverflow="clip" wrap="square" lIns="0" tIns="0" rIns="0" bIns="0" rtlCol="0" anchor="t" upright="1"/>
        <a:lstStyle/>
        <a:p>
          <a:pPr algn="ctr"/>
          <a:r>
            <a:rPr lang="en-US" sz="1200" b="1">
              <a:effectLst/>
              <a:latin typeface="Arial Narrow" panose="020B0606020202030204" pitchFamily="34" charset="0"/>
              <a:ea typeface="+mn-ea"/>
              <a:cs typeface="+mn-cs"/>
            </a:rPr>
            <a:t>	</a:t>
          </a:r>
          <a:r>
            <a:rPr lang="en-US" sz="3200" b="1">
              <a:effectLst/>
              <a:latin typeface="Arial Narrow" panose="020B0606020202030204" pitchFamily="34" charset="0"/>
              <a:ea typeface="+mn-ea"/>
              <a:cs typeface="+mn-cs"/>
            </a:rPr>
            <a:t>Instructions</a:t>
          </a:r>
          <a:endParaRPr lang="en-US" sz="1600" b="1">
            <a:effectLst/>
            <a:latin typeface="Arial Narrow" panose="020B060602020203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45</xdr:row>
      <xdr:rowOff>85725</xdr:rowOff>
    </xdr:from>
    <xdr:to>
      <xdr:col>18</xdr:col>
      <xdr:colOff>590550</xdr:colOff>
      <xdr:row>47</xdr:row>
      <xdr:rowOff>0</xdr:rowOff>
    </xdr:to>
    <xdr:sp macro="" textlink="">
      <xdr:nvSpPr>
        <xdr:cNvPr id="3" name="Rectangle 2"/>
        <xdr:cNvSpPr/>
      </xdr:nvSpPr>
      <xdr:spPr>
        <a:xfrm>
          <a:off x="314325" y="7372350"/>
          <a:ext cx="10953750" cy="2381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2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4700"/>
                    </a14:imgEffect>
                  </a14:imgLayer>
                </a14:imgProps>
              </a:ext>
            </a:extLst>
          </a:blip>
          <a:srcRect/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>
              <a:solidFill>
                <a:srgbClr val="00B0F0"/>
              </a:solidFill>
              <a:latin typeface="+mn-lt"/>
            </a:rPr>
            <a:t>Copyright@ 2016 Nalco,</a:t>
          </a:r>
          <a:r>
            <a:rPr lang="en-US" sz="1050" baseline="0">
              <a:solidFill>
                <a:srgbClr val="00B0F0"/>
              </a:solidFill>
              <a:latin typeface="+mn-lt"/>
            </a:rPr>
            <a:t> An ECOLAB Company. </a:t>
          </a:r>
          <a:r>
            <a:rPr lang="en-US" sz="1050" b="1" baseline="0">
              <a:solidFill>
                <a:srgbClr val="00B0F0"/>
              </a:solidFill>
              <a:latin typeface="+mn-lt"/>
            </a:rPr>
            <a:t>Confidential: do not distribute</a:t>
          </a:r>
          <a:r>
            <a:rPr lang="en-US" sz="1050" baseline="0">
              <a:solidFill>
                <a:srgbClr val="00B0F0"/>
              </a:solidFill>
              <a:latin typeface="+mn-lt"/>
            </a:rPr>
            <a:t>!!! </a:t>
          </a:r>
          <a:endParaRPr lang="en-US" sz="1050">
            <a:solidFill>
              <a:srgbClr val="00B0F0"/>
            </a:solidFill>
            <a:latin typeface="+mn-lt"/>
          </a:endParaRPr>
        </a:p>
      </xdr:txBody>
    </xdr:sp>
    <xdr:clientData/>
  </xdr:twoCellAnchor>
  <xdr:twoCellAnchor>
    <xdr:from>
      <xdr:col>19</xdr:col>
      <xdr:colOff>19049</xdr:colOff>
      <xdr:row>3</xdr:row>
      <xdr:rowOff>133351</xdr:rowOff>
    </xdr:from>
    <xdr:to>
      <xdr:col>19</xdr:col>
      <xdr:colOff>314324</xdr:colOff>
      <xdr:row>4</xdr:row>
      <xdr:rowOff>142876</xdr:rowOff>
    </xdr:to>
    <xdr:sp macro="" textlink="">
      <xdr:nvSpPr>
        <xdr:cNvPr id="4" name="TextBox 3">
          <a:hlinkClick xmlns:r="http://schemas.openxmlformats.org/officeDocument/2006/relationships" r:id="rId3" tooltip="Main"/>
        </xdr:cNvPr>
        <xdr:cNvSpPr txBox="1"/>
      </xdr:nvSpPr>
      <xdr:spPr>
        <a:xfrm>
          <a:off x="11306174" y="619126"/>
          <a:ext cx="29527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182362</xdr:colOff>
      <xdr:row>4</xdr:row>
      <xdr:rowOff>64922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323850"/>
          <a:ext cx="2011162" cy="388772"/>
        </a:xfrm>
        <a:prstGeom prst="rect">
          <a:avLst/>
        </a:prstGeom>
      </xdr:spPr>
    </xdr:pic>
    <xdr:clientData/>
  </xdr:twoCellAnchor>
  <xdr:twoCellAnchor>
    <xdr:from>
      <xdr:col>2</xdr:col>
      <xdr:colOff>120967</xdr:colOff>
      <xdr:row>11</xdr:row>
      <xdr:rowOff>152400</xdr:rowOff>
    </xdr:from>
    <xdr:to>
      <xdr:col>18</xdr:col>
      <xdr:colOff>60007</xdr:colOff>
      <xdr:row>41</xdr:row>
      <xdr:rowOff>49530</xdr:rowOff>
    </xdr:to>
    <xdr:sp macro="" textlink="">
      <xdr:nvSpPr>
        <xdr:cNvPr id="21" name="TextBox 20"/>
        <xdr:cNvSpPr txBox="1"/>
      </xdr:nvSpPr>
      <xdr:spPr>
        <a:xfrm>
          <a:off x="1044892" y="1933575"/>
          <a:ext cx="9692640" cy="4754880"/>
        </a:xfrm>
        <a:prstGeom prst="round2DiagRect">
          <a:avLst/>
        </a:prstGeom>
        <a:solidFill>
          <a:srgbClr val="EBEDE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1" u="sng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Water Savings from Increasing Tower Cycles</a:t>
          </a:r>
          <a:endParaRPr lang="en-US" sz="180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r>
            <a:rPr lang="en-US" sz="12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 </a:t>
          </a:r>
        </a:p>
        <a:p>
          <a:pPr hangingPunct="0"/>
          <a:r>
            <a:rPr lang="en-US" sz="1200" b="0" i="1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The purpose of this TCO value documentation tool is to calculate the potential water savings as a result of increasing tower cycles.   Please make sure to review scenario in the optimizer before making recommendations.  </a:t>
          </a:r>
        </a:p>
        <a:p>
          <a:pPr algn="ctr"/>
          <a:endParaRPr lang="en-US" sz="1800" b="1" u="sng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algn="ctr"/>
          <a:r>
            <a:rPr lang="en-US" sz="1800" b="1" u="sng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TCO Tool Instructions:</a:t>
          </a:r>
        </a:p>
        <a:p>
          <a:endParaRPr lang="en-US" sz="140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marL="228600" lvl="0" indent="-228600">
            <a:buFont typeface="+mj-lt"/>
            <a:buAutoNum type="arabicPeriod"/>
          </a:pPr>
          <a:r>
            <a:rPr lang="en-US" sz="1400" b="1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Go to the TCO Calculator</a:t>
          </a: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Tab of this Excel workbook.</a:t>
          </a:r>
        </a:p>
        <a:p>
          <a:pPr marL="228600" lvl="0" indent="-228600">
            <a:buFont typeface="+mj-lt"/>
            <a:buAutoNum type="arabicPeriod"/>
          </a:pPr>
          <a:r>
            <a:rPr lang="en-US" sz="1400" b="1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Enter the Input data</a:t>
          </a: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in the </a:t>
          </a:r>
          <a:r>
            <a:rPr lang="en-US" sz="1400" b="1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gray shaded cells</a:t>
          </a: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based on the information gathered from your discussions with your customer and your plant site survey data.</a:t>
          </a:r>
        </a:p>
        <a:p>
          <a:pPr marL="228600" lvl="0" indent="-228600">
            <a:buFont typeface="+mj-lt"/>
            <a:buAutoNum type="arabicPeriod"/>
          </a:pP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Use the Help Tips provided for each input cell if needed that pop up as you click on the each cell.</a:t>
          </a:r>
          <a:endParaRPr lang="en-US" sz="1400" baseline="0">
            <a:solidFill>
              <a:schemeClr val="dk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marL="228600" lvl="0" indent="-228600">
            <a:buFont typeface="+mj-lt"/>
            <a:buAutoNum type="arabicPeriod"/>
          </a:pP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Additional Help references are also available on certain cells by hovering your cursor over the red comment indicator in the Excel file. </a:t>
          </a:r>
        </a:p>
        <a:p>
          <a:pPr marL="228600" lvl="0" indent="-228600">
            <a:buFont typeface="+mj-lt"/>
            <a:buAutoNum type="arabicPeriod"/>
          </a:pP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The TCO Calculator worksheet also contains a section for entering data on areas for “Other Potential Savings”. Complete this section if applicable based on discovery with your customer. </a:t>
          </a:r>
        </a:p>
        <a:p>
          <a:pPr marL="228600" lvl="0" indent="-228600">
            <a:buFont typeface="+mj-lt"/>
            <a:buAutoNum type="arabicPeriod"/>
          </a:pP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Once you have completed the input data on the TCO Calculator tab </a:t>
          </a:r>
          <a:r>
            <a:rPr lang="en-US" sz="1400" b="1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go to the Report tab</a:t>
          </a: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to complete the information needed for the customer facing document. </a:t>
          </a:r>
        </a:p>
        <a:p>
          <a:pPr marL="228600" lvl="0" indent="-228600">
            <a:buFont typeface="+mj-lt"/>
            <a:buAutoNum type="arabicPeriod"/>
          </a:pP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You can then </a:t>
          </a:r>
          <a:r>
            <a:rPr lang="en-US" sz="1400" b="1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Print</a:t>
          </a: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the customer facing document on the Report Tab, or the calculations on the TCO Calculator tab, by choosing the print icon at the top of each page. </a:t>
          </a:r>
        </a:p>
        <a:p>
          <a:pPr marL="228600" lvl="0" indent="-228600">
            <a:buFont typeface="+mj-lt"/>
            <a:buAutoNum type="arabicPeriod"/>
          </a:pP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You can also </a:t>
          </a:r>
          <a:r>
            <a:rPr lang="en-US" sz="1400" b="1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Save the file as a PDF</a:t>
          </a: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by choosing the PDF icon at the top of the page.  </a:t>
          </a:r>
        </a:p>
        <a:p>
          <a:pPr marL="228600" lvl="0" indent="-228600">
            <a:buFont typeface="+mj-lt"/>
            <a:buAutoNum type="arabicPeriod"/>
          </a:pP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Use the </a:t>
          </a:r>
          <a:r>
            <a:rPr lang="en-US" sz="1400" b="1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Equations</a:t>
          </a:r>
          <a:r>
            <a:rPr lang="en-US" sz="1400">
              <a:solidFill>
                <a:schemeClr val="dk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 tab to see the formulas for calculating the different parameters for the project.</a:t>
          </a:r>
        </a:p>
        <a:p>
          <a:endParaRPr lang="en-US" sz="1600">
            <a:latin typeface="Arial Narrow" panose="020B0606020202030204" pitchFamily="34" charset="0"/>
            <a:cs typeface="Arial" panose="020B0604020202020204" pitchFamily="34" charset="0"/>
          </a:endParaRPr>
        </a:p>
        <a:p>
          <a:endParaRPr lang="en-US" sz="1600">
            <a:latin typeface="Arial Narrow" panose="020B0606020202030204" pitchFamily="34" charset="0"/>
            <a:cs typeface="Arial" panose="020B0604020202020204" pitchFamily="34" charset="0"/>
          </a:endParaRPr>
        </a:p>
        <a:p>
          <a:endParaRPr lang="en-US" sz="1600">
            <a:latin typeface="Arial Narrow" panose="020B0606020202030204" pitchFamily="34" charset="0"/>
            <a:cs typeface="Arial" panose="020B0604020202020204" pitchFamily="34" charset="0"/>
          </a:endParaRPr>
        </a:p>
        <a:p>
          <a:endParaRPr lang="en-US" sz="1600">
            <a:latin typeface="Arial Narrow" panose="020B0606020202030204" pitchFamily="34" charset="0"/>
            <a:cs typeface="Arial" panose="020B0604020202020204" pitchFamily="34" charset="0"/>
          </a:endParaRPr>
        </a:p>
        <a:p>
          <a:endParaRPr lang="en-US" sz="1600">
            <a:latin typeface="Arial Narrow" panose="020B0606020202030204" pitchFamily="34" charset="0"/>
            <a:cs typeface="Arial" panose="020B0604020202020204" pitchFamily="34" charset="0"/>
          </a:endParaRPr>
        </a:p>
        <a:p>
          <a:endParaRPr lang="en-US" sz="1600">
            <a:latin typeface="Arial Narrow" panose="020B0606020202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314325</xdr:colOff>
      <xdr:row>0</xdr:row>
      <xdr:rowOff>0</xdr:rowOff>
    </xdr:from>
    <xdr:to>
      <xdr:col>19</xdr:col>
      <xdr:colOff>64770</xdr:colOff>
      <xdr:row>0</xdr:row>
      <xdr:rowOff>147476</xdr:rowOff>
    </xdr:to>
    <xdr:grpSp>
      <xdr:nvGrpSpPr>
        <xdr:cNvPr id="22" name="Group 21"/>
        <xdr:cNvGrpSpPr/>
      </xdr:nvGrpSpPr>
      <xdr:grpSpPr>
        <a:xfrm>
          <a:off x="7943850" y="0"/>
          <a:ext cx="3408045" cy="147476"/>
          <a:chOff x="8791576" y="6290"/>
          <a:chExt cx="3415519" cy="147476"/>
        </a:xfrm>
      </xdr:grpSpPr>
      <xdr:sp macro="" textlink="">
        <xdr:nvSpPr>
          <xdr:cNvPr id="23" name="Rectangle 22"/>
          <xdr:cNvSpPr/>
        </xdr:nvSpPr>
        <xdr:spPr>
          <a:xfrm>
            <a:off x="8791576" y="6290"/>
            <a:ext cx="91440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1" i="0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Instructions  |</a:t>
            </a:r>
          </a:p>
        </xdr:txBody>
      </xdr:sp>
      <xdr:sp macro="" textlink="">
        <xdr:nvSpPr>
          <xdr:cNvPr id="24" name="Rectangle 23">
            <a:hlinkClick xmlns:r="http://schemas.openxmlformats.org/officeDocument/2006/relationships" r:id="rId5" tooltip="Value Calc"/>
          </xdr:cNvPr>
          <xdr:cNvSpPr/>
        </xdr:nvSpPr>
        <xdr:spPr>
          <a:xfrm>
            <a:off x="9716722" y="6290"/>
            <a:ext cx="109728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TCO Calculator   |</a:t>
            </a:r>
          </a:p>
        </xdr:txBody>
      </xdr:sp>
      <xdr:sp macro="" textlink="">
        <xdr:nvSpPr>
          <xdr:cNvPr id="25" name="Rectangle 24">
            <a:hlinkClick xmlns:r="http://schemas.openxmlformats.org/officeDocument/2006/relationships" r:id="rId6" tooltip="Report"/>
          </xdr:cNvPr>
          <xdr:cNvSpPr/>
        </xdr:nvSpPr>
        <xdr:spPr>
          <a:xfrm>
            <a:off x="10824748" y="6290"/>
            <a:ext cx="64008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Report</a:t>
            </a:r>
            <a:r>
              <a:rPr lang="en-US" sz="1000" b="1" i="0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 |</a:t>
            </a:r>
          </a:p>
        </xdr:txBody>
      </xdr:sp>
      <xdr:sp macro="" textlink="">
        <xdr:nvSpPr>
          <xdr:cNvPr id="26" name="Rectangle 25">
            <a:hlinkClick xmlns:r="http://schemas.openxmlformats.org/officeDocument/2006/relationships" r:id="rId7" tooltip="Eq"/>
          </xdr:cNvPr>
          <xdr:cNvSpPr/>
        </xdr:nvSpPr>
        <xdr:spPr>
          <a:xfrm>
            <a:off x="11475574" y="6290"/>
            <a:ext cx="731521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Equations</a:t>
            </a:r>
            <a:r>
              <a:rPr lang="en-US" sz="1000" b="1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| 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495296</xdr:colOff>
      <xdr:row>1</xdr:row>
      <xdr:rowOff>85725</xdr:rowOff>
    </xdr:from>
    <xdr:to>
      <xdr:col>27</xdr:col>
      <xdr:colOff>110486</xdr:colOff>
      <xdr:row>4</xdr:row>
      <xdr:rowOff>95250</xdr:rowOff>
    </xdr:to>
    <xdr:grpSp>
      <xdr:nvGrpSpPr>
        <xdr:cNvPr id="4" name="Group 3"/>
        <xdr:cNvGrpSpPr/>
      </xdr:nvGrpSpPr>
      <xdr:grpSpPr>
        <a:xfrm>
          <a:off x="8058146" y="247650"/>
          <a:ext cx="1005840" cy="495300"/>
          <a:chOff x="8820147" y="457200"/>
          <a:chExt cx="1000125" cy="495300"/>
        </a:xfrm>
      </xdr:grpSpPr>
      <xdr:grpSp>
        <xdr:nvGrpSpPr>
          <xdr:cNvPr id="16" name="Group 15"/>
          <xdr:cNvGrpSpPr/>
        </xdr:nvGrpSpPr>
        <xdr:grpSpPr>
          <a:xfrm>
            <a:off x="8820147" y="457200"/>
            <a:ext cx="523875" cy="495300"/>
            <a:chOff x="11249025" y="676275"/>
            <a:chExt cx="577516" cy="495300"/>
          </a:xfrm>
        </xdr:grpSpPr>
        <xdr:pic macro="[0]!PrintTCO">
          <xdr:nvPicPr>
            <xdr:cNvPr id="17" name="Picture 16" descr="http://askgeorgekopp.com/wp-content/uploads/2013/05/Icon-Printer02-Black.png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249025" y="676275"/>
              <a:ext cx="457200" cy="45720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8" name="TextBox 17"/>
            <xdr:cNvSpPr txBox="1"/>
          </xdr:nvSpPr>
          <xdr:spPr>
            <a:xfrm>
              <a:off x="11249025" y="990600"/>
              <a:ext cx="577516" cy="1809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000" b="1">
                  <a:solidFill>
                    <a:schemeClr val="bg1"/>
                  </a:solidFill>
                </a:rPr>
                <a:t>Print</a:t>
              </a:r>
            </a:p>
          </xdr:txBody>
        </xdr:sp>
      </xdr:grpSp>
      <xdr:grpSp>
        <xdr:nvGrpSpPr>
          <xdr:cNvPr id="19" name="Group 18"/>
          <xdr:cNvGrpSpPr/>
        </xdr:nvGrpSpPr>
        <xdr:grpSpPr>
          <a:xfrm>
            <a:off x="9363072" y="485775"/>
            <a:ext cx="457200" cy="466725"/>
            <a:chOff x="11820525" y="704850"/>
            <a:chExt cx="577516" cy="466725"/>
          </a:xfrm>
        </xdr:grpSpPr>
        <xdr:pic macro="[0]!CalcSave">
          <xdr:nvPicPr>
            <xdr:cNvPr id="20" name="Picture 19" descr="https://www.skillcollector.com/wp-content/uploads/2015/06/pdf-icon-copy-min.png"/>
            <xdr:cNvPicPr/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820525" y="704850"/>
              <a:ext cx="361950" cy="361950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21" name="TextBox 20"/>
            <xdr:cNvSpPr txBox="1"/>
          </xdr:nvSpPr>
          <xdr:spPr>
            <a:xfrm>
              <a:off x="11820525" y="990600"/>
              <a:ext cx="577516" cy="1809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000" b="1">
                  <a:solidFill>
                    <a:schemeClr val="bg1"/>
                  </a:solidFill>
                </a:rPr>
                <a:t>Save</a:t>
              </a:r>
            </a:p>
          </xdr:txBody>
        </xdr:sp>
      </xdr:grpSp>
    </xdr:grpSp>
    <xdr:clientData/>
  </xdr:twoCellAnchor>
  <xdr:twoCellAnchor>
    <xdr:from>
      <xdr:col>1</xdr:col>
      <xdr:colOff>0</xdr:colOff>
      <xdr:row>83</xdr:row>
      <xdr:rowOff>104775</xdr:rowOff>
    </xdr:from>
    <xdr:to>
      <xdr:col>27</xdr:col>
      <xdr:colOff>428625</xdr:colOff>
      <xdr:row>85</xdr:row>
      <xdr:rowOff>19050</xdr:rowOff>
    </xdr:to>
    <xdr:sp macro="" textlink="">
      <xdr:nvSpPr>
        <xdr:cNvPr id="27" name="Rectangle 26"/>
        <xdr:cNvSpPr/>
      </xdr:nvSpPr>
      <xdr:spPr>
        <a:xfrm>
          <a:off x="314325" y="13058775"/>
          <a:ext cx="10144125" cy="238125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22000"/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colorTemperature colorTemp="4700"/>
                    </a14:imgEffect>
                  </a14:imgLayer>
                </a14:imgProps>
              </a:ext>
            </a:extLst>
          </a:blip>
          <a:srcRect/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50">
              <a:solidFill>
                <a:srgbClr val="00B0F0"/>
              </a:solidFill>
              <a:latin typeface="+mn-lt"/>
            </a:rPr>
            <a:t>Copyright@ 2016 Nalco,</a:t>
          </a:r>
          <a:r>
            <a:rPr lang="en-US" sz="1050" baseline="0">
              <a:solidFill>
                <a:srgbClr val="00B0F0"/>
              </a:solidFill>
              <a:latin typeface="+mn-lt"/>
            </a:rPr>
            <a:t> An ECOLAB Company. </a:t>
          </a:r>
          <a:r>
            <a:rPr lang="en-US" sz="1050" b="1" baseline="0">
              <a:solidFill>
                <a:srgbClr val="00B0F0"/>
              </a:solidFill>
              <a:latin typeface="+mn-lt"/>
            </a:rPr>
            <a:t>Confidential: do not distribute</a:t>
          </a:r>
          <a:r>
            <a:rPr lang="en-US" sz="1050" baseline="0">
              <a:solidFill>
                <a:srgbClr val="00B0F0"/>
              </a:solidFill>
              <a:latin typeface="+mn-lt"/>
            </a:rPr>
            <a:t>!!! </a:t>
          </a:r>
          <a:endParaRPr lang="en-US" sz="1050">
            <a:solidFill>
              <a:srgbClr val="00B0F0"/>
            </a:solidFill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19050</xdr:rowOff>
        </xdr:from>
        <xdr:to>
          <xdr:col>24</xdr:col>
          <xdr:colOff>561975</xdr:colOff>
          <xdr:row>26</xdr:row>
          <xdr:rowOff>9525</xdr:rowOff>
        </xdr:to>
        <xdr:sp macro="" textlink="">
          <xdr:nvSpPr>
            <xdr:cNvPr id="2058" name="TextBox1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19050</xdr:rowOff>
        </xdr:from>
        <xdr:to>
          <xdr:col>24</xdr:col>
          <xdr:colOff>561975</xdr:colOff>
          <xdr:row>27</xdr:row>
          <xdr:rowOff>9525</xdr:rowOff>
        </xdr:to>
        <xdr:sp macro="" textlink="">
          <xdr:nvSpPr>
            <xdr:cNvPr id="2059" name="TextBox2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19050</xdr:rowOff>
        </xdr:from>
        <xdr:to>
          <xdr:col>24</xdr:col>
          <xdr:colOff>561975</xdr:colOff>
          <xdr:row>28</xdr:row>
          <xdr:rowOff>9525</xdr:rowOff>
        </xdr:to>
        <xdr:sp macro="" textlink="">
          <xdr:nvSpPr>
            <xdr:cNvPr id="2060" name="TextBox3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28575</xdr:rowOff>
        </xdr:from>
        <xdr:to>
          <xdr:col>24</xdr:col>
          <xdr:colOff>561975</xdr:colOff>
          <xdr:row>29</xdr:row>
          <xdr:rowOff>19050</xdr:rowOff>
        </xdr:to>
        <xdr:sp macro="" textlink="">
          <xdr:nvSpPr>
            <xdr:cNvPr id="2061" name="TextBox4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28575</xdr:rowOff>
        </xdr:from>
        <xdr:to>
          <xdr:col>24</xdr:col>
          <xdr:colOff>561975</xdr:colOff>
          <xdr:row>30</xdr:row>
          <xdr:rowOff>19050</xdr:rowOff>
        </xdr:to>
        <xdr:sp macro="" textlink="">
          <xdr:nvSpPr>
            <xdr:cNvPr id="2062" name="TextBox5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28575</xdr:rowOff>
        </xdr:from>
        <xdr:to>
          <xdr:col>24</xdr:col>
          <xdr:colOff>561975</xdr:colOff>
          <xdr:row>32</xdr:row>
          <xdr:rowOff>19050</xdr:rowOff>
        </xdr:to>
        <xdr:sp macro="" textlink="">
          <xdr:nvSpPr>
            <xdr:cNvPr id="2063" name="TextBox6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38100</xdr:rowOff>
        </xdr:from>
        <xdr:to>
          <xdr:col>24</xdr:col>
          <xdr:colOff>561975</xdr:colOff>
          <xdr:row>33</xdr:row>
          <xdr:rowOff>28575</xdr:rowOff>
        </xdr:to>
        <xdr:sp macro="" textlink="">
          <xdr:nvSpPr>
            <xdr:cNvPr id="2064" name="TextBox7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38100</xdr:rowOff>
        </xdr:from>
        <xdr:to>
          <xdr:col>24</xdr:col>
          <xdr:colOff>561975</xdr:colOff>
          <xdr:row>34</xdr:row>
          <xdr:rowOff>38100</xdr:rowOff>
        </xdr:to>
        <xdr:sp macro="" textlink="">
          <xdr:nvSpPr>
            <xdr:cNvPr id="2065" name="TextBox8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19050</xdr:colOff>
      <xdr:row>37</xdr:row>
      <xdr:rowOff>19049</xdr:rowOff>
    </xdr:from>
    <xdr:to>
      <xdr:col>25</xdr:col>
      <xdr:colOff>104775</xdr:colOff>
      <xdr:row>44</xdr:row>
      <xdr:rowOff>28574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314325</xdr:colOff>
      <xdr:row>0</xdr:row>
      <xdr:rowOff>9525</xdr:rowOff>
    </xdr:from>
    <xdr:to>
      <xdr:col>28</xdr:col>
      <xdr:colOff>64770</xdr:colOff>
      <xdr:row>0</xdr:row>
      <xdr:rowOff>157001</xdr:rowOff>
    </xdr:to>
    <xdr:grpSp>
      <xdr:nvGrpSpPr>
        <xdr:cNvPr id="37" name="Group 36"/>
        <xdr:cNvGrpSpPr/>
      </xdr:nvGrpSpPr>
      <xdr:grpSpPr>
        <a:xfrm>
          <a:off x="5791200" y="9525"/>
          <a:ext cx="3408045" cy="147476"/>
          <a:chOff x="8791576" y="6290"/>
          <a:chExt cx="3415519" cy="147476"/>
        </a:xfrm>
      </xdr:grpSpPr>
      <xdr:sp macro="" textlink="">
        <xdr:nvSpPr>
          <xdr:cNvPr id="38" name="Rectangle 37">
            <a:hlinkClick xmlns:r="http://schemas.openxmlformats.org/officeDocument/2006/relationships" r:id="rId6" tooltip="Instructions"/>
          </xdr:cNvPr>
          <xdr:cNvSpPr/>
        </xdr:nvSpPr>
        <xdr:spPr>
          <a:xfrm>
            <a:off x="8791576" y="6290"/>
            <a:ext cx="91440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Instructions</a:t>
            </a:r>
            <a:r>
              <a:rPr lang="en-US" sz="1000" b="1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|</a:t>
            </a:r>
          </a:p>
        </xdr:txBody>
      </xdr:sp>
      <xdr:sp macro="" textlink="">
        <xdr:nvSpPr>
          <xdr:cNvPr id="39" name="Rectangle 38">
            <a:hlinkClick xmlns:r="http://schemas.openxmlformats.org/officeDocument/2006/relationships" r:id="rId7" tooltip="Value Calc"/>
          </xdr:cNvPr>
          <xdr:cNvSpPr/>
        </xdr:nvSpPr>
        <xdr:spPr>
          <a:xfrm>
            <a:off x="9716722" y="6290"/>
            <a:ext cx="109728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1" i="0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TCO Calculator   |</a:t>
            </a:r>
          </a:p>
        </xdr:txBody>
      </xdr:sp>
      <xdr:sp macro="" textlink="">
        <xdr:nvSpPr>
          <xdr:cNvPr id="40" name="Rectangle 39">
            <a:hlinkClick xmlns:r="http://schemas.openxmlformats.org/officeDocument/2006/relationships" r:id="rId8" tooltip="Report"/>
          </xdr:cNvPr>
          <xdr:cNvSpPr/>
        </xdr:nvSpPr>
        <xdr:spPr>
          <a:xfrm>
            <a:off x="10824748" y="6290"/>
            <a:ext cx="640080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Report</a:t>
            </a:r>
            <a:r>
              <a:rPr lang="en-US" sz="1000" b="1" i="0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 |</a:t>
            </a:r>
          </a:p>
        </xdr:txBody>
      </xdr:sp>
      <xdr:sp macro="" textlink="">
        <xdr:nvSpPr>
          <xdr:cNvPr id="41" name="Rectangle 40">
            <a:hlinkClick xmlns:r="http://schemas.openxmlformats.org/officeDocument/2006/relationships" r:id="rId9" tooltip="Eq"/>
          </xdr:cNvPr>
          <xdr:cNvSpPr/>
        </xdr:nvSpPr>
        <xdr:spPr>
          <a:xfrm>
            <a:off x="11475574" y="6290"/>
            <a:ext cx="731521" cy="1474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>
            <a:noAutofit/>
          </a:bodyPr>
          <a:lstStyle/>
          <a:p>
            <a:pPr algn="l"/>
            <a:r>
              <a:rPr lang="en-US" sz="1000" b="0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Equations</a:t>
            </a:r>
            <a:r>
              <a:rPr lang="en-US" sz="1000" b="1" i="1">
                <a:solidFill>
                  <a:srgbClr val="00B0F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 | </a:t>
            </a:r>
          </a:p>
        </xdr:txBody>
      </xdr:sp>
    </xdr:grpSp>
    <xdr:clientData/>
  </xdr:twoCellAnchor>
  <xdr:twoCellAnchor>
    <xdr:from>
      <xdr:col>4</xdr:col>
      <xdr:colOff>148701</xdr:colOff>
      <xdr:row>66</xdr:row>
      <xdr:rowOff>142875</xdr:rowOff>
    </xdr:from>
    <xdr:to>
      <xdr:col>14</xdr:col>
      <xdr:colOff>8335</xdr:colOff>
      <xdr:row>82</xdr:row>
      <xdr:rowOff>61221</xdr:rowOff>
    </xdr:to>
    <xdr:grpSp>
      <xdr:nvGrpSpPr>
        <xdr:cNvPr id="42" name="Group 41"/>
        <xdr:cNvGrpSpPr>
          <a:grpSpLocks noChangeAspect="1"/>
        </xdr:cNvGrpSpPr>
      </xdr:nvGrpSpPr>
      <xdr:grpSpPr>
        <a:xfrm>
          <a:off x="872601" y="12030075"/>
          <a:ext cx="3802984" cy="2509146"/>
          <a:chOff x="7469019" y="1058304"/>
          <a:chExt cx="7537989" cy="4884012"/>
        </a:xfrm>
      </xdr:grpSpPr>
      <xdr:sp macro="" textlink="">
        <xdr:nvSpPr>
          <xdr:cNvPr id="43" name="Parallelogram 42"/>
          <xdr:cNvSpPr/>
        </xdr:nvSpPr>
        <xdr:spPr>
          <a:xfrm flipH="1">
            <a:off x="8509665" y="2645698"/>
            <a:ext cx="894665" cy="1593673"/>
          </a:xfrm>
          <a:prstGeom prst="parallelogram">
            <a:avLst>
              <a:gd name="adj" fmla="val 36753"/>
            </a:avLst>
          </a:prstGeom>
          <a:gradFill>
            <a:gsLst>
              <a:gs pos="25000">
                <a:srgbClr val="FFFF00"/>
              </a:gs>
              <a:gs pos="1000">
                <a:srgbClr val="FFC000"/>
              </a:gs>
              <a:gs pos="100000">
                <a:srgbClr val="86C6FA"/>
              </a:gs>
            </a:gsLst>
            <a:lin ang="54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44" name="Parallelogram 43"/>
          <xdr:cNvSpPr/>
        </xdr:nvSpPr>
        <xdr:spPr>
          <a:xfrm>
            <a:off x="10323852" y="2652268"/>
            <a:ext cx="903842" cy="1593673"/>
          </a:xfrm>
          <a:prstGeom prst="parallelogram">
            <a:avLst>
              <a:gd name="adj" fmla="val 36753"/>
            </a:avLst>
          </a:prstGeom>
          <a:gradFill>
            <a:gsLst>
              <a:gs pos="25000">
                <a:srgbClr val="FFFF00"/>
              </a:gs>
              <a:gs pos="1000">
                <a:srgbClr val="FFC000"/>
              </a:gs>
              <a:gs pos="100000">
                <a:srgbClr val="86C6FA"/>
              </a:gs>
            </a:gsLst>
            <a:lin ang="54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45" name="Oval 44"/>
          <xdr:cNvSpPr/>
        </xdr:nvSpPr>
        <xdr:spPr bwMode="auto">
          <a:xfrm>
            <a:off x="7605999" y="1264033"/>
            <a:ext cx="961906" cy="898142"/>
          </a:xfrm>
          <a:prstGeom prst="ellipse">
            <a:avLst/>
          </a:prstGeom>
          <a:pattFill prst="pct10">
            <a:fgClr>
              <a:schemeClr val="accent1"/>
            </a:fgClr>
            <a:bgClr>
              <a:schemeClr val="bg1"/>
            </a:bgClr>
          </a:pattFill>
          <a:ln w="19050">
            <a:noFill/>
            <a:round/>
            <a:headEnd/>
            <a:tailEnd/>
          </a:ln>
          <a:extLst/>
        </xdr:spPr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46" name="Line 33"/>
          <xdr:cNvSpPr>
            <a:spLocks noChangeShapeType="1"/>
          </xdr:cNvSpPr>
        </xdr:nvSpPr>
        <xdr:spPr bwMode="auto">
          <a:xfrm>
            <a:off x="13052001" y="5156616"/>
            <a:ext cx="627907" cy="0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" name="AutoShape 2"/>
          <xdr:cNvSpPr>
            <a:spLocks noChangeArrowheads="1"/>
          </xdr:cNvSpPr>
        </xdr:nvSpPr>
        <xdr:spPr bwMode="auto">
          <a:xfrm>
            <a:off x="9295914" y="1058304"/>
            <a:ext cx="1415133" cy="1283687"/>
          </a:xfrm>
          <a:prstGeom prst="cloudCallout">
            <a:avLst>
              <a:gd name="adj1" fmla="val -11670"/>
              <a:gd name="adj2" fmla="val 3417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48" name="Line 6"/>
          <xdr:cNvSpPr>
            <a:spLocks noChangeShapeType="1"/>
          </xdr:cNvSpPr>
        </xdr:nvSpPr>
        <xdr:spPr bwMode="auto">
          <a:xfrm>
            <a:off x="10922622" y="2348734"/>
            <a:ext cx="0" cy="298712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 type="stealth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Line 7"/>
          <xdr:cNvSpPr>
            <a:spLocks noChangeShapeType="1"/>
          </xdr:cNvSpPr>
        </xdr:nvSpPr>
        <xdr:spPr bwMode="auto">
          <a:xfrm>
            <a:off x="8432965" y="2647446"/>
            <a:ext cx="2863231" cy="0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50" name="Group 49"/>
          <xdr:cNvGrpSpPr/>
        </xdr:nvGrpSpPr>
        <xdr:grpSpPr>
          <a:xfrm>
            <a:off x="9923313" y="5155314"/>
            <a:ext cx="591251" cy="382350"/>
            <a:chOff x="1998889" y="8051347"/>
            <a:chExt cx="504825" cy="302078"/>
          </a:xfrm>
        </xdr:grpSpPr>
        <xdr:sp macro="" textlink="">
          <xdr:nvSpPr>
            <xdr:cNvPr id="197" name="AutoShape 28"/>
            <xdr:cNvSpPr>
              <a:spLocks noChangeArrowheads="1"/>
            </xdr:cNvSpPr>
          </xdr:nvSpPr>
          <xdr:spPr bwMode="auto">
            <a:xfrm flipH="1" flipV="1">
              <a:off x="2056039" y="8240146"/>
              <a:ext cx="323850" cy="113279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447 w 21600"/>
                <a:gd name="T13" fmla="*/ 5400 h 21600"/>
                <a:gd name="T14" fmla="*/ 17153 w 21600"/>
                <a:gd name="T15" fmla="*/ 180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5400" y="21600"/>
                  </a:lnTo>
                  <a:lnTo>
                    <a:pt x="16200" y="21600"/>
                  </a:lnTo>
                  <a:lnTo>
                    <a:pt x="21600" y="0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158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198" name="Oval 197"/>
            <xdr:cNvSpPr>
              <a:spLocks noChangeArrowheads="1"/>
            </xdr:cNvSpPr>
          </xdr:nvSpPr>
          <xdr:spPr bwMode="auto">
            <a:xfrm>
              <a:off x="2075089" y="8051347"/>
              <a:ext cx="285750" cy="245438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158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  <xdr:sp macro="" textlink="">
          <xdr:nvSpPr>
            <xdr:cNvPr id="199" name="Line 30"/>
            <xdr:cNvSpPr>
              <a:spLocks noChangeShapeType="1"/>
            </xdr:cNvSpPr>
          </xdr:nvSpPr>
          <xdr:spPr bwMode="auto">
            <a:xfrm>
              <a:off x="1998889" y="8174066"/>
              <a:ext cx="219075" cy="0"/>
            </a:xfrm>
            <a:prstGeom prst="line">
              <a:avLst/>
            </a:prstGeom>
            <a:noFill/>
            <a:ln w="19050">
              <a:solidFill>
                <a:srgbClr val="0000FF"/>
              </a:solidFill>
              <a:round/>
              <a:headEnd/>
              <a:tailEnd type="oval" w="sm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cxnSp macro="">
          <xdr:nvCxnSpPr>
            <xdr:cNvPr id="200" name="AutoShape 31"/>
            <xdr:cNvCxnSpPr>
              <a:cxnSpLocks noChangeShapeType="1"/>
            </xdr:cNvCxnSpPr>
          </xdr:nvCxnSpPr>
          <xdr:spPr bwMode="auto">
            <a:xfrm>
              <a:off x="2217964" y="8051347"/>
              <a:ext cx="285750" cy="0"/>
            </a:xfrm>
            <a:prstGeom prst="straightConnector1">
              <a:avLst/>
            </a:prstGeom>
            <a:noFill/>
            <a:ln w="19050">
              <a:solidFill>
                <a:srgbClr val="0000FF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sp macro="" textlink="">
        <xdr:nvSpPr>
          <xdr:cNvPr id="51" name="Line 33"/>
          <xdr:cNvSpPr>
            <a:spLocks noChangeShapeType="1"/>
          </xdr:cNvSpPr>
        </xdr:nvSpPr>
        <xdr:spPr bwMode="auto">
          <a:xfrm>
            <a:off x="10338237" y="5155336"/>
            <a:ext cx="1307601" cy="0"/>
          </a:xfrm>
          <a:prstGeom prst="line">
            <a:avLst/>
          </a:prstGeom>
          <a:noFill/>
          <a:ln w="19050">
            <a:solidFill>
              <a:srgbClr val="0000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" name="Line 35"/>
          <xdr:cNvSpPr>
            <a:spLocks noChangeShapeType="1"/>
          </xdr:cNvSpPr>
        </xdr:nvSpPr>
        <xdr:spPr bwMode="auto">
          <a:xfrm flipH="1" flipV="1">
            <a:off x="13660136" y="2348734"/>
            <a:ext cx="9369" cy="2807882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" name="Line 36"/>
          <xdr:cNvSpPr>
            <a:spLocks noChangeShapeType="1"/>
          </xdr:cNvSpPr>
        </xdr:nvSpPr>
        <xdr:spPr bwMode="auto">
          <a:xfrm>
            <a:off x="9931698" y="4878388"/>
            <a:ext cx="0" cy="440343"/>
          </a:xfrm>
          <a:prstGeom prst="line">
            <a:avLst/>
          </a:prstGeom>
          <a:noFill/>
          <a:ln w="19050">
            <a:solidFill>
              <a:srgbClr val="0000FF"/>
            </a:solidFill>
            <a:round/>
            <a:headEnd type="diamond" w="sm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4" name="Line 39"/>
          <xdr:cNvSpPr>
            <a:spLocks noChangeShapeType="1"/>
          </xdr:cNvSpPr>
        </xdr:nvSpPr>
        <xdr:spPr bwMode="auto">
          <a:xfrm rot="16200000">
            <a:off x="13743468" y="3484692"/>
            <a:ext cx="723002" cy="0"/>
          </a:xfrm>
          <a:prstGeom prst="line">
            <a:avLst/>
          </a:prstGeom>
          <a:noFill/>
          <a:ln w="15875">
            <a:solidFill>
              <a:srgbClr val="E87706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55" name="Group 54"/>
          <xdr:cNvGrpSpPr/>
        </xdr:nvGrpSpPr>
        <xdr:grpSpPr>
          <a:xfrm>
            <a:off x="14020848" y="3297176"/>
            <a:ext cx="321961" cy="340400"/>
            <a:chOff x="6637220" y="6048469"/>
            <a:chExt cx="327314" cy="270338"/>
          </a:xfrm>
        </xdr:grpSpPr>
        <xdr:sp macro="" textlink="">
          <xdr:nvSpPr>
            <xdr:cNvPr id="194" name="AutoShape 40"/>
            <xdr:cNvSpPr>
              <a:spLocks noChangeArrowheads="1"/>
            </xdr:cNvSpPr>
          </xdr:nvSpPr>
          <xdr:spPr bwMode="auto">
            <a:xfrm>
              <a:off x="6637220" y="6048469"/>
              <a:ext cx="163657" cy="270338"/>
            </a:xfrm>
            <a:prstGeom prst="flowChartCollat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Rectangle 194"/>
            <xdr:cNvSpPr>
              <a:spLocks noChangeArrowheads="1"/>
            </xdr:cNvSpPr>
          </xdr:nvSpPr>
          <xdr:spPr bwMode="auto">
            <a:xfrm rot="5400000">
              <a:off x="6831892" y="6102266"/>
              <a:ext cx="130508" cy="134776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</a:t>
              </a:r>
              <a:endParaRPr lang="en-US" sz="900"/>
            </a:p>
          </xdr:txBody>
        </xdr:sp>
        <xdr:sp macro="" textlink="">
          <xdr:nvSpPr>
            <xdr:cNvPr id="196" name="Line 42"/>
            <xdr:cNvSpPr>
              <a:spLocks noChangeShapeType="1"/>
            </xdr:cNvSpPr>
          </xdr:nvSpPr>
          <xdr:spPr bwMode="auto">
            <a:xfrm rot="5400000" flipH="1" flipV="1">
              <a:off x="6771996" y="6121368"/>
              <a:ext cx="0" cy="105896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56" name="Group 55"/>
          <xdr:cNvGrpSpPr/>
        </xdr:nvGrpSpPr>
        <xdr:grpSpPr>
          <a:xfrm>
            <a:off x="11629572" y="4881802"/>
            <a:ext cx="1617466" cy="549629"/>
            <a:chOff x="4867275" y="6391275"/>
            <a:chExt cx="2409825" cy="790575"/>
          </a:xfrm>
        </xdr:grpSpPr>
        <xdr:grpSp>
          <xdr:nvGrpSpPr>
            <xdr:cNvPr id="107" name="Group 427"/>
            <xdr:cNvGrpSpPr>
              <a:grpSpLocks/>
            </xdr:cNvGrpSpPr>
          </xdr:nvGrpSpPr>
          <xdr:grpSpPr bwMode="auto">
            <a:xfrm>
              <a:off x="6705600" y="6457950"/>
              <a:ext cx="571500" cy="638175"/>
              <a:chOff x="1783" y="1639"/>
              <a:chExt cx="217" cy="217"/>
            </a:xfrm>
          </xdr:grpSpPr>
          <xdr:grpSp>
            <xdr:nvGrpSpPr>
              <xdr:cNvPr id="180" name="Group 428"/>
              <xdr:cNvGrpSpPr>
                <a:grpSpLocks/>
              </xdr:cNvGrpSpPr>
            </xdr:nvGrpSpPr>
            <xdr:grpSpPr bwMode="auto">
              <a:xfrm>
                <a:off x="1783" y="1639"/>
                <a:ext cx="217" cy="217"/>
                <a:chOff x="1783" y="1639"/>
                <a:chExt cx="217" cy="217"/>
              </a:xfrm>
            </xdr:grpSpPr>
            <xdr:sp macro="" textlink="">
              <xdr:nvSpPr>
                <xdr:cNvPr id="182" name="Oval 429"/>
                <xdr:cNvSpPr>
                  <a:spLocks noChangeArrowheads="1"/>
                </xdr:cNvSpPr>
              </xdr:nvSpPr>
              <xdr:spPr bwMode="auto">
                <a:xfrm>
                  <a:off x="1783" y="1639"/>
                  <a:ext cx="217" cy="217"/>
                </a:xfrm>
                <a:prstGeom prst="ellipse">
                  <a:avLst/>
                </a:prstGeom>
                <a:solidFill>
                  <a:srgbClr val="7A8E99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83" name="Oval 430"/>
                <xdr:cNvSpPr>
                  <a:spLocks noChangeArrowheads="1"/>
                </xdr:cNvSpPr>
              </xdr:nvSpPr>
              <xdr:spPr bwMode="auto">
                <a:xfrm>
                  <a:off x="1783" y="1639"/>
                  <a:ext cx="205" cy="205"/>
                </a:xfrm>
                <a:prstGeom prst="ellipse">
                  <a:avLst/>
                </a:prstGeom>
                <a:solidFill>
                  <a:srgbClr val="7C919C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84" name="Oval 431"/>
                <xdr:cNvSpPr>
                  <a:spLocks noChangeArrowheads="1"/>
                </xdr:cNvSpPr>
              </xdr:nvSpPr>
              <xdr:spPr bwMode="auto">
                <a:xfrm>
                  <a:off x="1795" y="1651"/>
                  <a:ext cx="181" cy="181"/>
                </a:xfrm>
                <a:prstGeom prst="ellipse">
                  <a:avLst/>
                </a:prstGeom>
                <a:solidFill>
                  <a:srgbClr val="8196A2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85" name="Oval 432"/>
                <xdr:cNvSpPr>
                  <a:spLocks noChangeArrowheads="1"/>
                </xdr:cNvSpPr>
              </xdr:nvSpPr>
              <xdr:spPr bwMode="auto">
                <a:xfrm>
                  <a:off x="1801" y="1657"/>
                  <a:ext cx="169" cy="169"/>
                </a:xfrm>
                <a:prstGeom prst="ellipse">
                  <a:avLst/>
                </a:prstGeom>
                <a:solidFill>
                  <a:srgbClr val="889EAA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86" name="Oval 433"/>
                <xdr:cNvSpPr>
                  <a:spLocks noChangeArrowheads="1"/>
                </xdr:cNvSpPr>
              </xdr:nvSpPr>
              <xdr:spPr bwMode="auto">
                <a:xfrm>
                  <a:off x="1814" y="1669"/>
                  <a:ext cx="144" cy="145"/>
                </a:xfrm>
                <a:prstGeom prst="ellipse">
                  <a:avLst/>
                </a:prstGeom>
                <a:solidFill>
                  <a:srgbClr val="92A9B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87" name="Oval 434"/>
                <xdr:cNvSpPr>
                  <a:spLocks noChangeArrowheads="1"/>
                </xdr:cNvSpPr>
              </xdr:nvSpPr>
              <xdr:spPr bwMode="auto">
                <a:xfrm>
                  <a:off x="1820" y="1675"/>
                  <a:ext cx="132" cy="133"/>
                </a:xfrm>
                <a:prstGeom prst="ellipse">
                  <a:avLst/>
                </a:prstGeom>
                <a:solidFill>
                  <a:srgbClr val="9CB5C4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88" name="Oval 435"/>
                <xdr:cNvSpPr>
                  <a:spLocks noChangeArrowheads="1"/>
                </xdr:cNvSpPr>
              </xdr:nvSpPr>
              <xdr:spPr bwMode="auto">
                <a:xfrm>
                  <a:off x="1832" y="1687"/>
                  <a:ext cx="108" cy="109"/>
                </a:xfrm>
                <a:prstGeom prst="ellipse">
                  <a:avLst/>
                </a:prstGeom>
                <a:solidFill>
                  <a:srgbClr val="A7C2D1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89" name="Oval 436"/>
                <xdr:cNvSpPr>
                  <a:spLocks noChangeArrowheads="1"/>
                </xdr:cNvSpPr>
              </xdr:nvSpPr>
              <xdr:spPr bwMode="auto">
                <a:xfrm>
                  <a:off x="1844" y="1699"/>
                  <a:ext cx="90" cy="91"/>
                </a:xfrm>
                <a:prstGeom prst="ellipse">
                  <a:avLst/>
                </a:prstGeom>
                <a:solidFill>
                  <a:srgbClr val="B2CEDF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90" name="Oval 437"/>
                <xdr:cNvSpPr>
                  <a:spLocks noChangeArrowheads="1"/>
                </xdr:cNvSpPr>
              </xdr:nvSpPr>
              <xdr:spPr bwMode="auto">
                <a:xfrm>
                  <a:off x="1850" y="1705"/>
                  <a:ext cx="78" cy="79"/>
                </a:xfrm>
                <a:prstGeom prst="ellipse">
                  <a:avLst/>
                </a:prstGeom>
                <a:solidFill>
                  <a:srgbClr val="BBD9EA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91" name="Oval 438"/>
                <xdr:cNvSpPr>
                  <a:spLocks noChangeArrowheads="1"/>
                </xdr:cNvSpPr>
              </xdr:nvSpPr>
              <xdr:spPr bwMode="auto">
                <a:xfrm>
                  <a:off x="1862" y="1717"/>
                  <a:ext cx="54" cy="55"/>
                </a:xfrm>
                <a:prstGeom prst="ellipse">
                  <a:avLst/>
                </a:prstGeom>
                <a:solidFill>
                  <a:srgbClr val="C2E0F3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92" name="Oval 439"/>
                <xdr:cNvSpPr>
                  <a:spLocks noChangeArrowheads="1"/>
                </xdr:cNvSpPr>
              </xdr:nvSpPr>
              <xdr:spPr bwMode="auto">
                <a:xfrm>
                  <a:off x="1868" y="1723"/>
                  <a:ext cx="42" cy="43"/>
                </a:xfrm>
                <a:prstGeom prst="ellipse">
                  <a:avLst/>
                </a:prstGeom>
                <a:solidFill>
                  <a:srgbClr val="C7E6F9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93" name="Oval 440"/>
                <xdr:cNvSpPr>
                  <a:spLocks noChangeArrowheads="1"/>
                </xdr:cNvSpPr>
              </xdr:nvSpPr>
              <xdr:spPr bwMode="auto">
                <a:xfrm>
                  <a:off x="1880" y="1736"/>
                  <a:ext cx="18" cy="18"/>
                </a:xfrm>
                <a:prstGeom prst="ellipse">
                  <a:avLst/>
                </a:prstGeom>
                <a:solidFill>
                  <a:srgbClr val="CAEAFC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181" name="Oval 441"/>
              <xdr:cNvSpPr>
                <a:spLocks noChangeArrowheads="1"/>
              </xdr:cNvSpPr>
            </xdr:nvSpPr>
            <xdr:spPr bwMode="auto">
              <a:xfrm>
                <a:off x="1783" y="1639"/>
                <a:ext cx="217" cy="217"/>
              </a:xfrm>
              <a:prstGeom prst="ellipse">
                <a:avLst/>
              </a:prstGeom>
              <a:noFill/>
              <a:ln w="9525">
                <a:solidFill>
                  <a:srgbClr val="919191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</xdr:grpSp>
        <xdr:grpSp>
          <xdr:nvGrpSpPr>
            <xdr:cNvPr id="108" name="Group 427"/>
            <xdr:cNvGrpSpPr>
              <a:grpSpLocks/>
            </xdr:cNvGrpSpPr>
          </xdr:nvGrpSpPr>
          <xdr:grpSpPr bwMode="auto">
            <a:xfrm>
              <a:off x="4867275" y="6457950"/>
              <a:ext cx="571500" cy="638175"/>
              <a:chOff x="1783" y="1639"/>
              <a:chExt cx="217" cy="217"/>
            </a:xfrm>
          </xdr:grpSpPr>
          <xdr:grpSp>
            <xdr:nvGrpSpPr>
              <xdr:cNvPr id="166" name="Group 428"/>
              <xdr:cNvGrpSpPr>
                <a:grpSpLocks/>
              </xdr:cNvGrpSpPr>
            </xdr:nvGrpSpPr>
            <xdr:grpSpPr bwMode="auto">
              <a:xfrm>
                <a:off x="1783" y="1639"/>
                <a:ext cx="217" cy="217"/>
                <a:chOff x="1783" y="1639"/>
                <a:chExt cx="217" cy="217"/>
              </a:xfrm>
            </xdr:grpSpPr>
            <xdr:sp macro="" textlink="">
              <xdr:nvSpPr>
                <xdr:cNvPr id="168" name="Oval 429"/>
                <xdr:cNvSpPr>
                  <a:spLocks noChangeArrowheads="1"/>
                </xdr:cNvSpPr>
              </xdr:nvSpPr>
              <xdr:spPr bwMode="auto">
                <a:xfrm>
                  <a:off x="1783" y="1639"/>
                  <a:ext cx="217" cy="217"/>
                </a:xfrm>
                <a:prstGeom prst="ellipse">
                  <a:avLst/>
                </a:prstGeom>
                <a:solidFill>
                  <a:srgbClr val="7A8E99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69" name="Oval 430"/>
                <xdr:cNvSpPr>
                  <a:spLocks noChangeArrowheads="1"/>
                </xdr:cNvSpPr>
              </xdr:nvSpPr>
              <xdr:spPr bwMode="auto">
                <a:xfrm>
                  <a:off x="1783" y="1639"/>
                  <a:ext cx="205" cy="205"/>
                </a:xfrm>
                <a:prstGeom prst="ellipse">
                  <a:avLst/>
                </a:prstGeom>
                <a:solidFill>
                  <a:srgbClr val="7C919C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0" name="Oval 431"/>
                <xdr:cNvSpPr>
                  <a:spLocks noChangeArrowheads="1"/>
                </xdr:cNvSpPr>
              </xdr:nvSpPr>
              <xdr:spPr bwMode="auto">
                <a:xfrm>
                  <a:off x="1795" y="1651"/>
                  <a:ext cx="181" cy="181"/>
                </a:xfrm>
                <a:prstGeom prst="ellipse">
                  <a:avLst/>
                </a:prstGeom>
                <a:solidFill>
                  <a:srgbClr val="8196A2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1" name="Oval 432"/>
                <xdr:cNvSpPr>
                  <a:spLocks noChangeArrowheads="1"/>
                </xdr:cNvSpPr>
              </xdr:nvSpPr>
              <xdr:spPr bwMode="auto">
                <a:xfrm>
                  <a:off x="1801" y="1657"/>
                  <a:ext cx="169" cy="169"/>
                </a:xfrm>
                <a:prstGeom prst="ellipse">
                  <a:avLst/>
                </a:prstGeom>
                <a:solidFill>
                  <a:srgbClr val="889EAA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2" name="Oval 433"/>
                <xdr:cNvSpPr>
                  <a:spLocks noChangeArrowheads="1"/>
                </xdr:cNvSpPr>
              </xdr:nvSpPr>
              <xdr:spPr bwMode="auto">
                <a:xfrm>
                  <a:off x="1814" y="1669"/>
                  <a:ext cx="144" cy="145"/>
                </a:xfrm>
                <a:prstGeom prst="ellipse">
                  <a:avLst/>
                </a:prstGeom>
                <a:solidFill>
                  <a:srgbClr val="92A9B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3" name="Oval 434"/>
                <xdr:cNvSpPr>
                  <a:spLocks noChangeArrowheads="1"/>
                </xdr:cNvSpPr>
              </xdr:nvSpPr>
              <xdr:spPr bwMode="auto">
                <a:xfrm>
                  <a:off x="1820" y="1675"/>
                  <a:ext cx="132" cy="133"/>
                </a:xfrm>
                <a:prstGeom prst="ellipse">
                  <a:avLst/>
                </a:prstGeom>
                <a:solidFill>
                  <a:srgbClr val="9CB5C4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4" name="Oval 435"/>
                <xdr:cNvSpPr>
                  <a:spLocks noChangeArrowheads="1"/>
                </xdr:cNvSpPr>
              </xdr:nvSpPr>
              <xdr:spPr bwMode="auto">
                <a:xfrm>
                  <a:off x="1832" y="1687"/>
                  <a:ext cx="108" cy="109"/>
                </a:xfrm>
                <a:prstGeom prst="ellipse">
                  <a:avLst/>
                </a:prstGeom>
                <a:solidFill>
                  <a:srgbClr val="A7C2D1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5" name="Oval 436"/>
                <xdr:cNvSpPr>
                  <a:spLocks noChangeArrowheads="1"/>
                </xdr:cNvSpPr>
              </xdr:nvSpPr>
              <xdr:spPr bwMode="auto">
                <a:xfrm>
                  <a:off x="1844" y="1699"/>
                  <a:ext cx="90" cy="91"/>
                </a:xfrm>
                <a:prstGeom prst="ellipse">
                  <a:avLst/>
                </a:prstGeom>
                <a:solidFill>
                  <a:srgbClr val="B2CEDF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6" name="Oval 437"/>
                <xdr:cNvSpPr>
                  <a:spLocks noChangeArrowheads="1"/>
                </xdr:cNvSpPr>
              </xdr:nvSpPr>
              <xdr:spPr bwMode="auto">
                <a:xfrm>
                  <a:off x="1850" y="1705"/>
                  <a:ext cx="78" cy="79"/>
                </a:xfrm>
                <a:prstGeom prst="ellipse">
                  <a:avLst/>
                </a:prstGeom>
                <a:solidFill>
                  <a:srgbClr val="BBD9EA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7" name="Oval 438"/>
                <xdr:cNvSpPr>
                  <a:spLocks noChangeArrowheads="1"/>
                </xdr:cNvSpPr>
              </xdr:nvSpPr>
              <xdr:spPr bwMode="auto">
                <a:xfrm>
                  <a:off x="1862" y="1717"/>
                  <a:ext cx="54" cy="55"/>
                </a:xfrm>
                <a:prstGeom prst="ellipse">
                  <a:avLst/>
                </a:prstGeom>
                <a:solidFill>
                  <a:srgbClr val="C2E0F3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8" name="Oval 439"/>
                <xdr:cNvSpPr>
                  <a:spLocks noChangeArrowheads="1"/>
                </xdr:cNvSpPr>
              </xdr:nvSpPr>
              <xdr:spPr bwMode="auto">
                <a:xfrm>
                  <a:off x="1868" y="1723"/>
                  <a:ext cx="42" cy="43"/>
                </a:xfrm>
                <a:prstGeom prst="ellipse">
                  <a:avLst/>
                </a:prstGeom>
                <a:solidFill>
                  <a:srgbClr val="C7E6F9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79" name="Oval 440"/>
                <xdr:cNvSpPr>
                  <a:spLocks noChangeArrowheads="1"/>
                </xdr:cNvSpPr>
              </xdr:nvSpPr>
              <xdr:spPr bwMode="auto">
                <a:xfrm>
                  <a:off x="1880" y="1736"/>
                  <a:ext cx="18" cy="18"/>
                </a:xfrm>
                <a:prstGeom prst="ellipse">
                  <a:avLst/>
                </a:prstGeom>
                <a:solidFill>
                  <a:srgbClr val="CAEAFC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167" name="Oval 441"/>
              <xdr:cNvSpPr>
                <a:spLocks noChangeArrowheads="1"/>
              </xdr:cNvSpPr>
            </xdr:nvSpPr>
            <xdr:spPr bwMode="auto">
              <a:xfrm>
                <a:off x="1783" y="1639"/>
                <a:ext cx="217" cy="217"/>
              </a:xfrm>
              <a:prstGeom prst="ellipse">
                <a:avLst/>
              </a:prstGeom>
              <a:noFill/>
              <a:ln w="9525">
                <a:solidFill>
                  <a:srgbClr val="919191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</xdr:grpSp>
        <xdr:grpSp>
          <xdr:nvGrpSpPr>
            <xdr:cNvPr id="109" name="Group 457"/>
            <xdr:cNvGrpSpPr>
              <a:grpSpLocks/>
            </xdr:cNvGrpSpPr>
          </xdr:nvGrpSpPr>
          <xdr:grpSpPr bwMode="auto">
            <a:xfrm rot="10800000">
              <a:off x="5181600" y="6467475"/>
              <a:ext cx="1800225" cy="628650"/>
              <a:chOff x="2294" y="706"/>
              <a:chExt cx="991" cy="242"/>
            </a:xfrm>
          </xdr:grpSpPr>
          <xdr:grpSp>
            <xdr:nvGrpSpPr>
              <xdr:cNvPr id="148" name="Group 458"/>
              <xdr:cNvGrpSpPr>
                <a:grpSpLocks/>
              </xdr:cNvGrpSpPr>
            </xdr:nvGrpSpPr>
            <xdr:grpSpPr bwMode="auto">
              <a:xfrm>
                <a:off x="2294" y="706"/>
                <a:ext cx="991" cy="242"/>
                <a:chOff x="2294" y="706"/>
                <a:chExt cx="991" cy="242"/>
              </a:xfrm>
            </xdr:grpSpPr>
            <xdr:sp macro="" textlink="">
              <xdr:nvSpPr>
                <xdr:cNvPr id="150" name="Rectangle 459"/>
                <xdr:cNvSpPr>
                  <a:spLocks noChangeArrowheads="1"/>
                </xdr:cNvSpPr>
              </xdr:nvSpPr>
              <xdr:spPr bwMode="auto">
                <a:xfrm>
                  <a:off x="2294" y="706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51" name="Rectangle 460"/>
                <xdr:cNvSpPr>
                  <a:spLocks noChangeArrowheads="1"/>
                </xdr:cNvSpPr>
              </xdr:nvSpPr>
              <xdr:spPr bwMode="auto">
                <a:xfrm>
                  <a:off x="2294" y="718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52" name="Rectangle 461"/>
                <xdr:cNvSpPr>
                  <a:spLocks noChangeArrowheads="1"/>
                </xdr:cNvSpPr>
              </xdr:nvSpPr>
              <xdr:spPr bwMode="auto">
                <a:xfrm>
                  <a:off x="2294" y="730"/>
                  <a:ext cx="991" cy="24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53" name="Rectangle 462"/>
                <xdr:cNvSpPr>
                  <a:spLocks noChangeArrowheads="1"/>
                </xdr:cNvSpPr>
              </xdr:nvSpPr>
              <xdr:spPr bwMode="auto">
                <a:xfrm>
                  <a:off x="2294" y="754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54" name="Rectangle 463"/>
                <xdr:cNvSpPr>
                  <a:spLocks noChangeArrowheads="1"/>
                </xdr:cNvSpPr>
              </xdr:nvSpPr>
              <xdr:spPr bwMode="auto">
                <a:xfrm>
                  <a:off x="2294" y="766"/>
                  <a:ext cx="991" cy="13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55" name="Rectangle 464"/>
                <xdr:cNvSpPr>
                  <a:spLocks noChangeArrowheads="1"/>
                </xdr:cNvSpPr>
              </xdr:nvSpPr>
              <xdr:spPr bwMode="auto">
                <a:xfrm>
                  <a:off x="2294" y="779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56" name="Rectangle 465"/>
                <xdr:cNvSpPr>
                  <a:spLocks noChangeArrowheads="1"/>
                </xdr:cNvSpPr>
              </xdr:nvSpPr>
              <xdr:spPr bwMode="auto">
                <a:xfrm>
                  <a:off x="2294" y="791"/>
                  <a:ext cx="991" cy="24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57" name="Rectangle 466"/>
                <xdr:cNvSpPr>
                  <a:spLocks noChangeArrowheads="1"/>
                </xdr:cNvSpPr>
              </xdr:nvSpPr>
              <xdr:spPr bwMode="auto">
                <a:xfrm>
                  <a:off x="2294" y="815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58" name="Rectangle 467"/>
                <xdr:cNvSpPr>
                  <a:spLocks noChangeArrowheads="1"/>
                </xdr:cNvSpPr>
              </xdr:nvSpPr>
              <xdr:spPr bwMode="auto">
                <a:xfrm>
                  <a:off x="2294" y="827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59" name="Rectangle 468"/>
                <xdr:cNvSpPr>
                  <a:spLocks noChangeArrowheads="1"/>
                </xdr:cNvSpPr>
              </xdr:nvSpPr>
              <xdr:spPr bwMode="auto">
                <a:xfrm>
                  <a:off x="2294" y="839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60" name="Rectangle 469"/>
                <xdr:cNvSpPr>
                  <a:spLocks noChangeArrowheads="1"/>
                </xdr:cNvSpPr>
              </xdr:nvSpPr>
              <xdr:spPr bwMode="auto">
                <a:xfrm>
                  <a:off x="2294" y="851"/>
                  <a:ext cx="991" cy="24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61" name="Rectangle 470"/>
                <xdr:cNvSpPr>
                  <a:spLocks noChangeArrowheads="1"/>
                </xdr:cNvSpPr>
              </xdr:nvSpPr>
              <xdr:spPr bwMode="auto">
                <a:xfrm>
                  <a:off x="2294" y="875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62" name="Rectangle 471"/>
                <xdr:cNvSpPr>
                  <a:spLocks noChangeArrowheads="1"/>
                </xdr:cNvSpPr>
              </xdr:nvSpPr>
              <xdr:spPr bwMode="auto">
                <a:xfrm>
                  <a:off x="2294" y="887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63" name="Rectangle 472"/>
                <xdr:cNvSpPr>
                  <a:spLocks noChangeArrowheads="1"/>
                </xdr:cNvSpPr>
              </xdr:nvSpPr>
              <xdr:spPr bwMode="auto">
                <a:xfrm>
                  <a:off x="2294" y="899"/>
                  <a:ext cx="991" cy="13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64" name="Rectangle 473"/>
                <xdr:cNvSpPr>
                  <a:spLocks noChangeArrowheads="1"/>
                </xdr:cNvSpPr>
              </xdr:nvSpPr>
              <xdr:spPr bwMode="auto">
                <a:xfrm>
                  <a:off x="2294" y="912"/>
                  <a:ext cx="991" cy="24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165" name="Rectangle 474"/>
                <xdr:cNvSpPr>
                  <a:spLocks noChangeArrowheads="1"/>
                </xdr:cNvSpPr>
              </xdr:nvSpPr>
              <xdr:spPr bwMode="auto">
                <a:xfrm>
                  <a:off x="2294" y="936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</xdr:grpSp>
          <xdr:sp macro="" textlink="">
            <xdr:nvSpPr>
              <xdr:cNvPr id="149" name="Rectangle 475"/>
              <xdr:cNvSpPr>
                <a:spLocks noChangeArrowheads="1"/>
              </xdr:cNvSpPr>
            </xdr:nvSpPr>
            <xdr:spPr bwMode="auto">
              <a:xfrm>
                <a:off x="2294" y="706"/>
                <a:ext cx="991" cy="242"/>
              </a:xfrm>
              <a:prstGeom prst="rect">
                <a:avLst/>
              </a:prstGeom>
              <a:gradFill rotWithShape="0">
                <a:gsLst>
                  <a:gs pos="0">
                    <a:srgbClr xmlns:mc="http://schemas.openxmlformats.org/markup-compatibility/2006" xmlns:a14="http://schemas.microsoft.com/office/drawing/2010/main" val="969696" mc:Ignorable="a14" a14:legacySpreadsheetColorIndex="55"/>
                  </a:gs>
                  <a:gs pos="50000">
                    <a:srgbClr xmlns:mc="http://schemas.openxmlformats.org/markup-compatibility/2006" xmlns:a14="http://schemas.microsoft.com/office/drawing/2010/main" val="99CCFF" mc:Ignorable="a14" a14:legacySpreadsheetColorIndex="44"/>
                  </a:gs>
                  <a:gs pos="100000">
                    <a:srgbClr xmlns:mc="http://schemas.openxmlformats.org/markup-compatibility/2006" xmlns:a14="http://schemas.microsoft.com/office/drawing/2010/main" val="969696" mc:Ignorable="a14" a14:legacySpreadsheetColorIndex="55"/>
                  </a:gs>
                </a:gsLst>
                <a:lin ang="5400000" scaled="1"/>
              </a:gradFill>
              <a:ln w="19050">
                <a:solidFill>
                  <a:srgbClr val="919191"/>
                </a:solidFill>
                <a:miter lim="800000"/>
                <a:headEnd/>
                <a:tailEnd/>
              </a:ln>
            </xdr:spPr>
          </xdr:sp>
        </xdr:grpSp>
        <xdr:grpSp>
          <xdr:nvGrpSpPr>
            <xdr:cNvPr id="110" name="Group 476"/>
            <xdr:cNvGrpSpPr>
              <a:grpSpLocks/>
            </xdr:cNvGrpSpPr>
          </xdr:nvGrpSpPr>
          <xdr:grpSpPr bwMode="auto">
            <a:xfrm>
              <a:off x="5114925" y="6391275"/>
              <a:ext cx="76200" cy="771525"/>
              <a:chOff x="2294" y="658"/>
              <a:chExt cx="61" cy="338"/>
            </a:xfrm>
          </xdr:grpSpPr>
          <xdr:grpSp>
            <xdr:nvGrpSpPr>
              <xdr:cNvPr id="130" name="Group 477"/>
              <xdr:cNvGrpSpPr>
                <a:grpSpLocks/>
              </xdr:cNvGrpSpPr>
            </xdr:nvGrpSpPr>
            <xdr:grpSpPr bwMode="auto">
              <a:xfrm>
                <a:off x="2294" y="658"/>
                <a:ext cx="61" cy="338"/>
                <a:chOff x="2294" y="658"/>
                <a:chExt cx="61" cy="338"/>
              </a:xfrm>
            </xdr:grpSpPr>
            <xdr:sp macro="" textlink="">
              <xdr:nvSpPr>
                <xdr:cNvPr id="132" name="Rectangle 478"/>
                <xdr:cNvSpPr>
                  <a:spLocks noChangeArrowheads="1"/>
                </xdr:cNvSpPr>
              </xdr:nvSpPr>
              <xdr:spPr bwMode="auto">
                <a:xfrm>
                  <a:off x="2294" y="658"/>
                  <a:ext cx="61" cy="24"/>
                </a:xfrm>
                <a:prstGeom prst="rect">
                  <a:avLst/>
                </a:prstGeom>
                <a:solidFill>
                  <a:srgbClr val="7C909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33" name="Rectangle 479"/>
                <xdr:cNvSpPr>
                  <a:spLocks noChangeArrowheads="1"/>
                </xdr:cNvSpPr>
              </xdr:nvSpPr>
              <xdr:spPr bwMode="auto">
                <a:xfrm>
                  <a:off x="2294" y="682"/>
                  <a:ext cx="61" cy="12"/>
                </a:xfrm>
                <a:prstGeom prst="rect">
                  <a:avLst/>
                </a:prstGeom>
                <a:solidFill>
                  <a:srgbClr val="8297A3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34" name="Rectangle 480"/>
                <xdr:cNvSpPr>
                  <a:spLocks noChangeArrowheads="1"/>
                </xdr:cNvSpPr>
              </xdr:nvSpPr>
              <xdr:spPr bwMode="auto">
                <a:xfrm>
                  <a:off x="2294" y="694"/>
                  <a:ext cx="61" cy="24"/>
                </a:xfrm>
                <a:prstGeom prst="rect">
                  <a:avLst/>
                </a:prstGeom>
                <a:solidFill>
                  <a:srgbClr val="8CA3B0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35" name="Rectangle 481"/>
                <xdr:cNvSpPr>
                  <a:spLocks noChangeArrowheads="1"/>
                </xdr:cNvSpPr>
              </xdr:nvSpPr>
              <xdr:spPr bwMode="auto">
                <a:xfrm>
                  <a:off x="2294" y="718"/>
                  <a:ext cx="61" cy="24"/>
                </a:xfrm>
                <a:prstGeom prst="rect">
                  <a:avLst/>
                </a:prstGeom>
                <a:solidFill>
                  <a:srgbClr val="9EB7C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36" name="Rectangle 482"/>
                <xdr:cNvSpPr>
                  <a:spLocks noChangeArrowheads="1"/>
                </xdr:cNvSpPr>
              </xdr:nvSpPr>
              <xdr:spPr bwMode="auto">
                <a:xfrm>
                  <a:off x="2294" y="742"/>
                  <a:ext cx="61" cy="24"/>
                </a:xfrm>
                <a:prstGeom prst="rect">
                  <a:avLst/>
                </a:prstGeom>
                <a:solidFill>
                  <a:srgbClr val="B1CDD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37" name="Rectangle 483"/>
                <xdr:cNvSpPr>
                  <a:spLocks noChangeArrowheads="1"/>
                </xdr:cNvSpPr>
              </xdr:nvSpPr>
              <xdr:spPr bwMode="auto">
                <a:xfrm>
                  <a:off x="2294" y="766"/>
                  <a:ext cx="61" cy="13"/>
                </a:xfrm>
                <a:prstGeom prst="rect">
                  <a:avLst/>
                </a:prstGeom>
                <a:solidFill>
                  <a:srgbClr val="BCDAE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38" name="Rectangle 484"/>
                <xdr:cNvSpPr>
                  <a:spLocks noChangeArrowheads="1"/>
                </xdr:cNvSpPr>
              </xdr:nvSpPr>
              <xdr:spPr bwMode="auto">
                <a:xfrm>
                  <a:off x="2294" y="779"/>
                  <a:ext cx="61" cy="24"/>
                </a:xfrm>
                <a:prstGeom prst="rect">
                  <a:avLst/>
                </a:prstGeom>
                <a:solidFill>
                  <a:srgbClr val="C4E3F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39" name="Rectangle 485"/>
                <xdr:cNvSpPr>
                  <a:spLocks noChangeArrowheads="1"/>
                </xdr:cNvSpPr>
              </xdr:nvSpPr>
              <xdr:spPr bwMode="auto">
                <a:xfrm>
                  <a:off x="2294" y="803"/>
                  <a:ext cx="61" cy="24"/>
                </a:xfrm>
                <a:prstGeom prst="rect">
                  <a:avLst/>
                </a:prstGeom>
                <a:solidFill>
                  <a:srgbClr val="CAEAF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40" name="Rectangle 486"/>
                <xdr:cNvSpPr>
                  <a:spLocks noChangeArrowheads="1"/>
                </xdr:cNvSpPr>
              </xdr:nvSpPr>
              <xdr:spPr bwMode="auto">
                <a:xfrm>
                  <a:off x="2294" y="827"/>
                  <a:ext cx="61" cy="24"/>
                </a:xfrm>
                <a:prstGeom prst="rect">
                  <a:avLst/>
                </a:prstGeom>
                <a:solidFill>
                  <a:srgbClr val="CAEAF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41" name="Rectangle 487"/>
                <xdr:cNvSpPr>
                  <a:spLocks noChangeArrowheads="1"/>
                </xdr:cNvSpPr>
              </xdr:nvSpPr>
              <xdr:spPr bwMode="auto">
                <a:xfrm>
                  <a:off x="2294" y="851"/>
                  <a:ext cx="61" cy="12"/>
                </a:xfrm>
                <a:prstGeom prst="rect">
                  <a:avLst/>
                </a:prstGeom>
                <a:solidFill>
                  <a:srgbClr val="C6E6F8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42" name="Rectangle 488"/>
                <xdr:cNvSpPr>
                  <a:spLocks noChangeArrowheads="1"/>
                </xdr:cNvSpPr>
              </xdr:nvSpPr>
              <xdr:spPr bwMode="auto">
                <a:xfrm>
                  <a:off x="2294" y="863"/>
                  <a:ext cx="61" cy="24"/>
                </a:xfrm>
                <a:prstGeom prst="rect">
                  <a:avLst/>
                </a:prstGeom>
                <a:solidFill>
                  <a:srgbClr val="BFDDEF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43" name="Rectangle 489"/>
                <xdr:cNvSpPr>
                  <a:spLocks noChangeArrowheads="1"/>
                </xdr:cNvSpPr>
              </xdr:nvSpPr>
              <xdr:spPr bwMode="auto">
                <a:xfrm>
                  <a:off x="2294" y="887"/>
                  <a:ext cx="61" cy="25"/>
                </a:xfrm>
                <a:prstGeom prst="rect">
                  <a:avLst/>
                </a:prstGeom>
                <a:solidFill>
                  <a:srgbClr val="B1CDD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44" name="Rectangle 490"/>
                <xdr:cNvSpPr>
                  <a:spLocks noChangeArrowheads="1"/>
                </xdr:cNvSpPr>
              </xdr:nvSpPr>
              <xdr:spPr bwMode="auto">
                <a:xfrm>
                  <a:off x="2294" y="912"/>
                  <a:ext cx="61" cy="24"/>
                </a:xfrm>
                <a:prstGeom prst="rect">
                  <a:avLst/>
                </a:prstGeom>
                <a:solidFill>
                  <a:srgbClr val="9EB7C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45" name="Rectangle 491"/>
                <xdr:cNvSpPr>
                  <a:spLocks noChangeArrowheads="1"/>
                </xdr:cNvSpPr>
              </xdr:nvSpPr>
              <xdr:spPr bwMode="auto">
                <a:xfrm>
                  <a:off x="2294" y="936"/>
                  <a:ext cx="61" cy="12"/>
                </a:xfrm>
                <a:prstGeom prst="rect">
                  <a:avLst/>
                </a:prstGeom>
                <a:solidFill>
                  <a:srgbClr val="90A7B5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46" name="Rectangle 492"/>
                <xdr:cNvSpPr>
                  <a:spLocks noChangeArrowheads="1"/>
                </xdr:cNvSpPr>
              </xdr:nvSpPr>
              <xdr:spPr bwMode="auto">
                <a:xfrm>
                  <a:off x="2294" y="948"/>
                  <a:ext cx="61" cy="24"/>
                </a:xfrm>
                <a:prstGeom prst="rect">
                  <a:avLst/>
                </a:prstGeom>
                <a:solidFill>
                  <a:srgbClr val="859AA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47" name="Rectangle 493"/>
                <xdr:cNvSpPr>
                  <a:spLocks noChangeArrowheads="1"/>
                </xdr:cNvSpPr>
              </xdr:nvSpPr>
              <xdr:spPr bwMode="auto">
                <a:xfrm>
                  <a:off x="2294" y="972"/>
                  <a:ext cx="61" cy="24"/>
                </a:xfrm>
                <a:prstGeom prst="rect">
                  <a:avLst/>
                </a:prstGeom>
                <a:solidFill>
                  <a:srgbClr val="7C909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131" name="Rectangle 494"/>
              <xdr:cNvSpPr>
                <a:spLocks noChangeArrowheads="1"/>
              </xdr:cNvSpPr>
            </xdr:nvSpPr>
            <xdr:spPr bwMode="auto">
              <a:xfrm>
                <a:off x="2294" y="658"/>
                <a:ext cx="61" cy="338"/>
              </a:xfrm>
              <a:prstGeom prst="rect">
                <a:avLst/>
              </a:prstGeom>
              <a:noFill/>
              <a:ln w="19050">
                <a:solidFill>
                  <a:srgbClr val="919191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</xdr:grpSp>
        <xdr:grpSp>
          <xdr:nvGrpSpPr>
            <xdr:cNvPr id="111" name="Group 495"/>
            <xdr:cNvGrpSpPr>
              <a:grpSpLocks/>
            </xdr:cNvGrpSpPr>
          </xdr:nvGrpSpPr>
          <xdr:grpSpPr bwMode="auto">
            <a:xfrm>
              <a:off x="6953250" y="6410325"/>
              <a:ext cx="76200" cy="771525"/>
              <a:chOff x="2294" y="658"/>
              <a:chExt cx="61" cy="338"/>
            </a:xfrm>
          </xdr:grpSpPr>
          <xdr:grpSp>
            <xdr:nvGrpSpPr>
              <xdr:cNvPr id="112" name="Group 496"/>
              <xdr:cNvGrpSpPr>
                <a:grpSpLocks/>
              </xdr:cNvGrpSpPr>
            </xdr:nvGrpSpPr>
            <xdr:grpSpPr bwMode="auto">
              <a:xfrm>
                <a:off x="2294" y="658"/>
                <a:ext cx="61" cy="338"/>
                <a:chOff x="2294" y="658"/>
                <a:chExt cx="61" cy="338"/>
              </a:xfrm>
            </xdr:grpSpPr>
            <xdr:sp macro="" textlink="">
              <xdr:nvSpPr>
                <xdr:cNvPr id="114" name="Rectangle 497"/>
                <xdr:cNvSpPr>
                  <a:spLocks noChangeArrowheads="1"/>
                </xdr:cNvSpPr>
              </xdr:nvSpPr>
              <xdr:spPr bwMode="auto">
                <a:xfrm>
                  <a:off x="2294" y="658"/>
                  <a:ext cx="61" cy="24"/>
                </a:xfrm>
                <a:prstGeom prst="rect">
                  <a:avLst/>
                </a:prstGeom>
                <a:solidFill>
                  <a:srgbClr val="7C909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5" name="Rectangle 498"/>
                <xdr:cNvSpPr>
                  <a:spLocks noChangeArrowheads="1"/>
                </xdr:cNvSpPr>
              </xdr:nvSpPr>
              <xdr:spPr bwMode="auto">
                <a:xfrm>
                  <a:off x="2294" y="682"/>
                  <a:ext cx="61" cy="12"/>
                </a:xfrm>
                <a:prstGeom prst="rect">
                  <a:avLst/>
                </a:prstGeom>
                <a:solidFill>
                  <a:srgbClr val="8297A3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6" name="Rectangle 499"/>
                <xdr:cNvSpPr>
                  <a:spLocks noChangeArrowheads="1"/>
                </xdr:cNvSpPr>
              </xdr:nvSpPr>
              <xdr:spPr bwMode="auto">
                <a:xfrm>
                  <a:off x="2294" y="694"/>
                  <a:ext cx="61" cy="24"/>
                </a:xfrm>
                <a:prstGeom prst="rect">
                  <a:avLst/>
                </a:prstGeom>
                <a:solidFill>
                  <a:srgbClr val="8CA3B0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7" name="Rectangle 500"/>
                <xdr:cNvSpPr>
                  <a:spLocks noChangeArrowheads="1"/>
                </xdr:cNvSpPr>
              </xdr:nvSpPr>
              <xdr:spPr bwMode="auto">
                <a:xfrm>
                  <a:off x="2294" y="718"/>
                  <a:ext cx="61" cy="24"/>
                </a:xfrm>
                <a:prstGeom prst="rect">
                  <a:avLst/>
                </a:prstGeom>
                <a:solidFill>
                  <a:srgbClr val="9EB7C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8" name="Rectangle 501"/>
                <xdr:cNvSpPr>
                  <a:spLocks noChangeArrowheads="1"/>
                </xdr:cNvSpPr>
              </xdr:nvSpPr>
              <xdr:spPr bwMode="auto">
                <a:xfrm>
                  <a:off x="2294" y="742"/>
                  <a:ext cx="61" cy="24"/>
                </a:xfrm>
                <a:prstGeom prst="rect">
                  <a:avLst/>
                </a:prstGeom>
                <a:solidFill>
                  <a:srgbClr val="B1CDD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9" name="Rectangle 502"/>
                <xdr:cNvSpPr>
                  <a:spLocks noChangeArrowheads="1"/>
                </xdr:cNvSpPr>
              </xdr:nvSpPr>
              <xdr:spPr bwMode="auto">
                <a:xfrm>
                  <a:off x="2294" y="766"/>
                  <a:ext cx="61" cy="13"/>
                </a:xfrm>
                <a:prstGeom prst="rect">
                  <a:avLst/>
                </a:prstGeom>
                <a:solidFill>
                  <a:srgbClr val="BCDAE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20" name="Rectangle 503"/>
                <xdr:cNvSpPr>
                  <a:spLocks noChangeArrowheads="1"/>
                </xdr:cNvSpPr>
              </xdr:nvSpPr>
              <xdr:spPr bwMode="auto">
                <a:xfrm>
                  <a:off x="2294" y="779"/>
                  <a:ext cx="61" cy="24"/>
                </a:xfrm>
                <a:prstGeom prst="rect">
                  <a:avLst/>
                </a:prstGeom>
                <a:solidFill>
                  <a:srgbClr val="C4E3F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21" name="Rectangle 504"/>
                <xdr:cNvSpPr>
                  <a:spLocks noChangeArrowheads="1"/>
                </xdr:cNvSpPr>
              </xdr:nvSpPr>
              <xdr:spPr bwMode="auto">
                <a:xfrm>
                  <a:off x="2294" y="803"/>
                  <a:ext cx="61" cy="24"/>
                </a:xfrm>
                <a:prstGeom prst="rect">
                  <a:avLst/>
                </a:prstGeom>
                <a:solidFill>
                  <a:srgbClr val="CAEAF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22" name="Rectangle 505"/>
                <xdr:cNvSpPr>
                  <a:spLocks noChangeArrowheads="1"/>
                </xdr:cNvSpPr>
              </xdr:nvSpPr>
              <xdr:spPr bwMode="auto">
                <a:xfrm>
                  <a:off x="2294" y="827"/>
                  <a:ext cx="61" cy="24"/>
                </a:xfrm>
                <a:prstGeom prst="rect">
                  <a:avLst/>
                </a:prstGeom>
                <a:solidFill>
                  <a:srgbClr val="CAEAF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23" name="Rectangle 506"/>
                <xdr:cNvSpPr>
                  <a:spLocks noChangeArrowheads="1"/>
                </xdr:cNvSpPr>
              </xdr:nvSpPr>
              <xdr:spPr bwMode="auto">
                <a:xfrm>
                  <a:off x="2294" y="851"/>
                  <a:ext cx="61" cy="12"/>
                </a:xfrm>
                <a:prstGeom prst="rect">
                  <a:avLst/>
                </a:prstGeom>
                <a:solidFill>
                  <a:srgbClr val="C6E6F8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24" name="Rectangle 507"/>
                <xdr:cNvSpPr>
                  <a:spLocks noChangeArrowheads="1"/>
                </xdr:cNvSpPr>
              </xdr:nvSpPr>
              <xdr:spPr bwMode="auto">
                <a:xfrm>
                  <a:off x="2294" y="863"/>
                  <a:ext cx="61" cy="24"/>
                </a:xfrm>
                <a:prstGeom prst="rect">
                  <a:avLst/>
                </a:prstGeom>
                <a:solidFill>
                  <a:srgbClr val="BFDDEF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25" name="Rectangle 508"/>
                <xdr:cNvSpPr>
                  <a:spLocks noChangeArrowheads="1"/>
                </xdr:cNvSpPr>
              </xdr:nvSpPr>
              <xdr:spPr bwMode="auto">
                <a:xfrm>
                  <a:off x="2294" y="887"/>
                  <a:ext cx="61" cy="25"/>
                </a:xfrm>
                <a:prstGeom prst="rect">
                  <a:avLst/>
                </a:prstGeom>
                <a:solidFill>
                  <a:srgbClr val="B1CDD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26" name="Rectangle 509"/>
                <xdr:cNvSpPr>
                  <a:spLocks noChangeArrowheads="1"/>
                </xdr:cNvSpPr>
              </xdr:nvSpPr>
              <xdr:spPr bwMode="auto">
                <a:xfrm>
                  <a:off x="2294" y="912"/>
                  <a:ext cx="61" cy="24"/>
                </a:xfrm>
                <a:prstGeom prst="rect">
                  <a:avLst/>
                </a:prstGeom>
                <a:solidFill>
                  <a:srgbClr val="9EB7C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27" name="Rectangle 510"/>
                <xdr:cNvSpPr>
                  <a:spLocks noChangeArrowheads="1"/>
                </xdr:cNvSpPr>
              </xdr:nvSpPr>
              <xdr:spPr bwMode="auto">
                <a:xfrm>
                  <a:off x="2294" y="936"/>
                  <a:ext cx="61" cy="12"/>
                </a:xfrm>
                <a:prstGeom prst="rect">
                  <a:avLst/>
                </a:prstGeom>
                <a:solidFill>
                  <a:srgbClr val="90A7B5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28" name="Rectangle 511"/>
                <xdr:cNvSpPr>
                  <a:spLocks noChangeArrowheads="1"/>
                </xdr:cNvSpPr>
              </xdr:nvSpPr>
              <xdr:spPr bwMode="auto">
                <a:xfrm>
                  <a:off x="2294" y="948"/>
                  <a:ext cx="61" cy="24"/>
                </a:xfrm>
                <a:prstGeom prst="rect">
                  <a:avLst/>
                </a:prstGeom>
                <a:solidFill>
                  <a:srgbClr val="859AA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29" name="Rectangle 512"/>
                <xdr:cNvSpPr>
                  <a:spLocks noChangeArrowheads="1"/>
                </xdr:cNvSpPr>
              </xdr:nvSpPr>
              <xdr:spPr bwMode="auto">
                <a:xfrm>
                  <a:off x="2294" y="972"/>
                  <a:ext cx="61" cy="24"/>
                </a:xfrm>
                <a:prstGeom prst="rect">
                  <a:avLst/>
                </a:prstGeom>
                <a:solidFill>
                  <a:srgbClr val="7C909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113" name="Rectangle 513"/>
              <xdr:cNvSpPr>
                <a:spLocks noChangeArrowheads="1"/>
              </xdr:cNvSpPr>
            </xdr:nvSpPr>
            <xdr:spPr bwMode="auto">
              <a:xfrm>
                <a:off x="2294" y="658"/>
                <a:ext cx="61" cy="338"/>
              </a:xfrm>
              <a:prstGeom prst="rect">
                <a:avLst/>
              </a:prstGeom>
              <a:noFill/>
              <a:ln w="19050">
                <a:solidFill>
                  <a:srgbClr val="919191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</xdr:grpSp>
      </xdr:grpSp>
      <xdr:pic>
        <xdr:nvPicPr>
          <xdr:cNvPr id="57" name="Picture 23" descr="D:\bbrock\My Documents\Stuff\Icons\Industry\Twr Fan Stack Grey.jpg"/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9195280" y="2084037"/>
            <a:ext cx="1373867" cy="5548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58" name="Rectangle 57"/>
          <xdr:cNvSpPr>
            <a:spLocks noChangeArrowheads="1"/>
          </xdr:cNvSpPr>
        </xdr:nvSpPr>
        <xdr:spPr bwMode="auto">
          <a:xfrm>
            <a:off x="8745464" y="4327329"/>
            <a:ext cx="2243566" cy="538667"/>
          </a:xfrm>
          <a:prstGeom prst="rect">
            <a:avLst/>
          </a:prstGeom>
          <a:solidFill>
            <a:srgbClr val="047DC8">
              <a:alpha val="14000"/>
            </a:srgbClr>
          </a:solidFill>
          <a:ln w="19050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endParaRPr lang="en-US" sz="9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en-US" sz="900"/>
          </a:p>
        </xdr:txBody>
      </xdr:sp>
      <xdr:grpSp>
        <xdr:nvGrpSpPr>
          <xdr:cNvPr id="59" name="Group 58"/>
          <xdr:cNvGrpSpPr/>
        </xdr:nvGrpSpPr>
        <xdr:grpSpPr>
          <a:xfrm>
            <a:off x="7773309" y="4185536"/>
            <a:ext cx="1122602" cy="373659"/>
            <a:chOff x="374520" y="6858870"/>
            <a:chExt cx="1143000" cy="301336"/>
          </a:xfrm>
        </xdr:grpSpPr>
        <xdr:sp macro="" textlink="">
          <xdr:nvSpPr>
            <xdr:cNvPr id="102" name="Line 39"/>
            <xdr:cNvSpPr>
              <a:spLocks noChangeShapeType="1"/>
            </xdr:cNvSpPr>
          </xdr:nvSpPr>
          <xdr:spPr bwMode="auto">
            <a:xfrm rot="10800000" flipV="1">
              <a:off x="374520" y="7086070"/>
              <a:ext cx="1143000" cy="0"/>
            </a:xfrm>
            <a:prstGeom prst="line">
              <a:avLst/>
            </a:prstGeom>
            <a:noFill/>
            <a:ln w="15875">
              <a:solidFill>
                <a:srgbClr val="376AFB"/>
              </a:solidFill>
              <a:round/>
              <a:headEnd type="stealth" w="med" len="med"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103" name="Group 102"/>
            <xdr:cNvGrpSpPr/>
          </xdr:nvGrpSpPr>
          <xdr:grpSpPr>
            <a:xfrm>
              <a:off x="666105" y="6858870"/>
              <a:ext cx="276630" cy="301336"/>
              <a:chOff x="666105" y="6858870"/>
              <a:chExt cx="276630" cy="301336"/>
            </a:xfrm>
          </xdr:grpSpPr>
          <xdr:sp macro="" textlink="">
            <xdr:nvSpPr>
              <xdr:cNvPr id="104" name="AutoShape 40"/>
              <xdr:cNvSpPr>
                <a:spLocks noChangeArrowheads="1"/>
              </xdr:cNvSpPr>
            </xdr:nvSpPr>
            <xdr:spPr bwMode="auto">
              <a:xfrm rot="16200000">
                <a:off x="722591" y="6940063"/>
                <a:ext cx="163657" cy="276630"/>
              </a:xfrm>
              <a:prstGeom prst="flowChartCollate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" name="Rectangle 104"/>
              <xdr:cNvSpPr>
                <a:spLocks noChangeArrowheads="1"/>
              </xdr:cNvSpPr>
            </xdr:nvSpPr>
            <xdr:spPr bwMode="auto">
              <a:xfrm>
                <a:off x="740656" y="6858870"/>
                <a:ext cx="109728" cy="109728"/>
              </a:xfrm>
              <a:prstGeom prst="rect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22860" rIns="27432" bIns="0" anchor="t" upright="1"/>
              <a:lstStyle/>
              <a:p>
                <a:pPr algn="ctr" rtl="0">
                  <a:defRPr sz="1000"/>
                </a:pPr>
                <a:endParaRPr lang="en-US" sz="900"/>
              </a:p>
            </xdr:txBody>
          </xdr:sp>
          <xdr:sp macro="" textlink="">
            <xdr:nvSpPr>
              <xdr:cNvPr id="106" name="Line 42"/>
              <xdr:cNvSpPr>
                <a:spLocks noChangeShapeType="1"/>
              </xdr:cNvSpPr>
            </xdr:nvSpPr>
            <xdr:spPr bwMode="auto">
              <a:xfrm flipH="1" flipV="1">
                <a:off x="794880" y="6972483"/>
                <a:ext cx="0" cy="105896"/>
              </a:xfrm>
              <a:prstGeom prst="line">
                <a:avLst/>
              </a:prstGeom>
              <a:noFill/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60" name="Line 33"/>
          <xdr:cNvSpPr>
            <a:spLocks noChangeShapeType="1"/>
          </xdr:cNvSpPr>
        </xdr:nvSpPr>
        <xdr:spPr bwMode="auto">
          <a:xfrm>
            <a:off x="13668665" y="3135577"/>
            <a:ext cx="450574" cy="0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1" name="TextBox 60"/>
          <xdr:cNvSpPr txBox="1"/>
        </xdr:nvSpPr>
        <xdr:spPr>
          <a:xfrm>
            <a:off x="9244710" y="1135500"/>
            <a:ext cx="1601876" cy="7281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900"/>
              <a:t>Evaporation</a:t>
            </a:r>
            <a:r>
              <a:rPr lang="en-US" sz="900" baseline="0"/>
              <a:t> </a:t>
            </a:r>
          </a:p>
        </xdr:txBody>
      </xdr:sp>
      <xdr:sp macro="" textlink="">
        <xdr:nvSpPr>
          <xdr:cNvPr id="62" name="TextBox 61"/>
          <xdr:cNvSpPr txBox="1"/>
        </xdr:nvSpPr>
        <xdr:spPr>
          <a:xfrm>
            <a:off x="9317423" y="5488386"/>
            <a:ext cx="1423889" cy="453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900" baseline="0"/>
              <a:t>Circulation </a:t>
            </a:r>
          </a:p>
        </xdr:txBody>
      </xdr:sp>
      <xdr:sp macro="" textlink="">
        <xdr:nvSpPr>
          <xdr:cNvPr id="63" name="TextBox 62"/>
          <xdr:cNvSpPr txBox="1"/>
        </xdr:nvSpPr>
        <xdr:spPr>
          <a:xfrm>
            <a:off x="7561242" y="4343689"/>
            <a:ext cx="1245903" cy="7281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900" baseline="0"/>
              <a:t>Makeup </a:t>
            </a:r>
          </a:p>
        </xdr:txBody>
      </xdr:sp>
      <xdr:sp macro="" textlink="">
        <xdr:nvSpPr>
          <xdr:cNvPr id="64" name="TextBox 63"/>
          <xdr:cNvSpPr txBox="1"/>
        </xdr:nvSpPr>
        <xdr:spPr>
          <a:xfrm>
            <a:off x="7469019" y="1456555"/>
            <a:ext cx="889931" cy="299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aseline="0"/>
              <a:t>Drift </a:t>
            </a:r>
          </a:p>
        </xdr:txBody>
      </xdr:sp>
      <xdr:sp macro="" textlink="">
        <xdr:nvSpPr>
          <xdr:cNvPr id="65" name="TextBox 64"/>
          <xdr:cNvSpPr txBox="1"/>
        </xdr:nvSpPr>
        <xdr:spPr>
          <a:xfrm>
            <a:off x="8105172" y="5358525"/>
            <a:ext cx="1245903" cy="453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900" baseline="0"/>
              <a:t>Leakage  </a:t>
            </a:r>
          </a:p>
        </xdr:txBody>
      </xdr:sp>
      <xdr:sp macro="" textlink="">
        <xdr:nvSpPr>
          <xdr:cNvPr id="66" name="TextBox 65"/>
          <xdr:cNvSpPr txBox="1"/>
        </xdr:nvSpPr>
        <xdr:spPr>
          <a:xfrm>
            <a:off x="13480108" y="3725331"/>
            <a:ext cx="1526900" cy="453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900" baseline="0"/>
              <a:t>Blow Down  </a:t>
            </a:r>
          </a:p>
        </xdr:txBody>
      </xdr:sp>
      <xdr:sp macro="" textlink="">
        <xdr:nvSpPr>
          <xdr:cNvPr id="67" name="Rectangle 66"/>
          <xdr:cNvSpPr>
            <a:spLocks noChangeArrowheads="1"/>
          </xdr:cNvSpPr>
        </xdr:nvSpPr>
        <xdr:spPr bwMode="auto">
          <a:xfrm>
            <a:off x="8749817" y="4248536"/>
            <a:ext cx="2229021" cy="633265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endParaRPr lang="en-US" sz="9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en-US" sz="900"/>
          </a:p>
        </xdr:txBody>
      </xdr:sp>
      <xdr:grpSp>
        <xdr:nvGrpSpPr>
          <xdr:cNvPr id="68" name="Group 67"/>
          <xdr:cNvGrpSpPr/>
        </xdr:nvGrpSpPr>
        <xdr:grpSpPr>
          <a:xfrm>
            <a:off x="8175282" y="1650935"/>
            <a:ext cx="1106083" cy="183645"/>
            <a:chOff x="8874333" y="4747390"/>
            <a:chExt cx="1016283" cy="146397"/>
          </a:xfrm>
        </xdr:grpSpPr>
        <xdr:sp macro="" textlink="">
          <xdr:nvSpPr>
            <xdr:cNvPr id="91" name="Arc 90"/>
            <xdr:cNvSpPr/>
          </xdr:nvSpPr>
          <xdr:spPr>
            <a:xfrm rot="10800000">
              <a:off x="8986458" y="4747390"/>
              <a:ext cx="89858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92" name="Arc 91"/>
            <xdr:cNvSpPr/>
          </xdr:nvSpPr>
          <xdr:spPr>
            <a:xfrm>
              <a:off x="9076578" y="4756627"/>
              <a:ext cx="89145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93" name="Arc 92"/>
            <xdr:cNvSpPr/>
          </xdr:nvSpPr>
          <xdr:spPr>
            <a:xfrm>
              <a:off x="9250832" y="4754895"/>
              <a:ext cx="89858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94" name="Arc 93"/>
            <xdr:cNvSpPr/>
          </xdr:nvSpPr>
          <xdr:spPr>
            <a:xfrm>
              <a:off x="9433435" y="4754317"/>
              <a:ext cx="89858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95" name="Arc 94"/>
            <xdr:cNvSpPr/>
          </xdr:nvSpPr>
          <xdr:spPr>
            <a:xfrm>
              <a:off x="9619940" y="4753740"/>
              <a:ext cx="86308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96" name="Arc 95"/>
            <xdr:cNvSpPr/>
          </xdr:nvSpPr>
          <xdr:spPr>
            <a:xfrm>
              <a:off x="9797922" y="4752586"/>
              <a:ext cx="92694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97" name="Arc 96"/>
            <xdr:cNvSpPr/>
          </xdr:nvSpPr>
          <xdr:spPr>
            <a:xfrm rot="10800000">
              <a:off x="9163435" y="4753740"/>
              <a:ext cx="89858" cy="133696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98" name="Arc 97"/>
            <xdr:cNvSpPr/>
          </xdr:nvSpPr>
          <xdr:spPr>
            <a:xfrm rot="10800000">
              <a:off x="9341424" y="4751863"/>
              <a:ext cx="89858" cy="133696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99" name="Arc 98"/>
            <xdr:cNvSpPr/>
          </xdr:nvSpPr>
          <xdr:spPr>
            <a:xfrm rot="10800000">
              <a:off x="9524264" y="4753162"/>
              <a:ext cx="89858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100" name="Arc 99"/>
            <xdr:cNvSpPr/>
          </xdr:nvSpPr>
          <xdr:spPr>
            <a:xfrm rot="10800000">
              <a:off x="9705265" y="4753162"/>
              <a:ext cx="89858" cy="132542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cxnSp macro="">
          <xdr:nvCxnSpPr>
            <xdr:cNvPr id="101" name="Straight Connector 100"/>
            <xdr:cNvCxnSpPr/>
          </xdr:nvCxnSpPr>
          <xdr:spPr>
            <a:xfrm>
              <a:off x="8874333" y="4812892"/>
              <a:ext cx="107674" cy="0"/>
            </a:xfrm>
            <a:prstGeom prst="line">
              <a:avLst/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headEnd type="stealth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69" name="Group 68"/>
          <xdr:cNvGrpSpPr/>
        </xdr:nvGrpSpPr>
        <xdr:grpSpPr>
          <a:xfrm flipH="1">
            <a:off x="8434218" y="2719136"/>
            <a:ext cx="403046" cy="1433811"/>
            <a:chOff x="2943225" y="5934074"/>
            <a:chExt cx="432435" cy="1158240"/>
          </a:xfrm>
        </xdr:grpSpPr>
        <xdr:cxnSp macro="">
          <xdr:nvCxnSpPr>
            <xdr:cNvPr id="83" name="Straight Connector 82"/>
            <xdr:cNvCxnSpPr/>
          </xdr:nvCxnSpPr>
          <xdr:spPr>
            <a:xfrm flipH="1">
              <a:off x="3238500" y="59340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" name="Straight Connector 83"/>
            <xdr:cNvCxnSpPr/>
          </xdr:nvCxnSpPr>
          <xdr:spPr>
            <a:xfrm flipH="1">
              <a:off x="3190875" y="60864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" name="Straight Connector 84"/>
            <xdr:cNvCxnSpPr/>
          </xdr:nvCxnSpPr>
          <xdr:spPr>
            <a:xfrm flipH="1">
              <a:off x="3152775" y="6229349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6" name="Straight Connector 85"/>
            <xdr:cNvCxnSpPr/>
          </xdr:nvCxnSpPr>
          <xdr:spPr>
            <a:xfrm flipH="1">
              <a:off x="3114675" y="63912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/>
            <xdr:cNvCxnSpPr/>
          </xdr:nvCxnSpPr>
          <xdr:spPr>
            <a:xfrm flipH="1">
              <a:off x="3018940" y="6715124"/>
              <a:ext cx="137159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8" name="Straight Connector 87"/>
            <xdr:cNvCxnSpPr/>
          </xdr:nvCxnSpPr>
          <xdr:spPr>
            <a:xfrm flipH="1">
              <a:off x="2981325" y="6857999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9" name="Straight Connector 88"/>
            <xdr:cNvCxnSpPr/>
          </xdr:nvCxnSpPr>
          <xdr:spPr>
            <a:xfrm flipH="1">
              <a:off x="3067050" y="656272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0" name="Straight Connector 89"/>
            <xdr:cNvCxnSpPr/>
          </xdr:nvCxnSpPr>
          <xdr:spPr>
            <a:xfrm flipH="1">
              <a:off x="2943225" y="70008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0" name="Group 69"/>
          <xdr:cNvGrpSpPr/>
        </xdr:nvGrpSpPr>
        <xdr:grpSpPr>
          <a:xfrm>
            <a:off x="10901142" y="2743032"/>
            <a:ext cx="407305" cy="1433811"/>
            <a:chOff x="2943225" y="5934074"/>
            <a:chExt cx="432435" cy="1158240"/>
          </a:xfrm>
        </xdr:grpSpPr>
        <xdr:cxnSp macro="">
          <xdr:nvCxnSpPr>
            <xdr:cNvPr id="75" name="Straight Connector 74"/>
            <xdr:cNvCxnSpPr/>
          </xdr:nvCxnSpPr>
          <xdr:spPr>
            <a:xfrm flipH="1">
              <a:off x="3238500" y="59340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" name="Straight Connector 75"/>
            <xdr:cNvCxnSpPr/>
          </xdr:nvCxnSpPr>
          <xdr:spPr>
            <a:xfrm flipH="1">
              <a:off x="3190875" y="60864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" name="Straight Connector 76"/>
            <xdr:cNvCxnSpPr/>
          </xdr:nvCxnSpPr>
          <xdr:spPr>
            <a:xfrm flipH="1">
              <a:off x="3152775" y="6229349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8" name="Straight Connector 77"/>
            <xdr:cNvCxnSpPr/>
          </xdr:nvCxnSpPr>
          <xdr:spPr>
            <a:xfrm flipH="1">
              <a:off x="3114675" y="63912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9" name="Straight Connector 78"/>
            <xdr:cNvCxnSpPr/>
          </xdr:nvCxnSpPr>
          <xdr:spPr>
            <a:xfrm flipH="1">
              <a:off x="3018940" y="6715124"/>
              <a:ext cx="137159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" name="Straight Connector 79"/>
            <xdr:cNvCxnSpPr/>
          </xdr:nvCxnSpPr>
          <xdr:spPr>
            <a:xfrm flipH="1">
              <a:off x="2981325" y="6857999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/>
            <xdr:cNvCxnSpPr/>
          </xdr:nvCxnSpPr>
          <xdr:spPr>
            <a:xfrm flipH="1">
              <a:off x="3067050" y="656272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" name="Straight Connector 81"/>
            <xdr:cNvCxnSpPr/>
          </xdr:nvCxnSpPr>
          <xdr:spPr>
            <a:xfrm flipH="1">
              <a:off x="2943225" y="70008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71" name="Straight Arrow Connector 70"/>
          <xdr:cNvCxnSpPr/>
        </xdr:nvCxnSpPr>
        <xdr:spPr>
          <a:xfrm flipH="1">
            <a:off x="8793998" y="4783068"/>
            <a:ext cx="660864" cy="610651"/>
          </a:xfrm>
          <a:prstGeom prst="straightConnector1">
            <a:avLst/>
          </a:prstGeom>
          <a:ln w="25400" cap="rnd">
            <a:solidFill>
              <a:srgbClr val="0544F5"/>
            </a:solidFill>
            <a:prstDash val="sysDot"/>
            <a:tailEnd type="stealth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2" name="Line 6"/>
          <xdr:cNvSpPr>
            <a:spLocks noChangeShapeType="1"/>
          </xdr:cNvSpPr>
        </xdr:nvSpPr>
        <xdr:spPr bwMode="auto">
          <a:xfrm>
            <a:off x="8782769" y="2350546"/>
            <a:ext cx="0" cy="295876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 type="stealth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" name="Line 33"/>
          <xdr:cNvSpPr>
            <a:spLocks noChangeShapeType="1"/>
          </xdr:cNvSpPr>
        </xdr:nvSpPr>
        <xdr:spPr bwMode="auto">
          <a:xfrm>
            <a:off x="8768049" y="2353704"/>
            <a:ext cx="640080" cy="0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" name="Line 34"/>
          <xdr:cNvSpPr>
            <a:spLocks noChangeShapeType="1"/>
          </xdr:cNvSpPr>
        </xdr:nvSpPr>
        <xdr:spPr bwMode="auto">
          <a:xfrm flipV="1">
            <a:off x="10506886" y="2351120"/>
            <a:ext cx="3154680" cy="3803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</xdr:col>
      <xdr:colOff>0</xdr:colOff>
      <xdr:row>16</xdr:row>
      <xdr:rowOff>0</xdr:rowOff>
    </xdr:from>
    <xdr:to>
      <xdr:col>4</xdr:col>
      <xdr:colOff>0</xdr:colOff>
      <xdr:row>17</xdr:row>
      <xdr:rowOff>66675</xdr:rowOff>
    </xdr:to>
    <xdr:sp macro="" textlink="">
      <xdr:nvSpPr>
        <xdr:cNvPr id="201" name="Down Arrow 200"/>
        <xdr:cNvSpPr/>
      </xdr:nvSpPr>
      <xdr:spPr bwMode="auto">
        <a:xfrm>
          <a:off x="723900" y="2809875"/>
          <a:ext cx="0" cy="257175"/>
        </a:xfrm>
        <a:prstGeom prst="downArrow">
          <a:avLst/>
        </a:prstGeom>
        <a:solidFill>
          <a:schemeClr val="accent5">
            <a:lumMod val="40000"/>
            <a:lumOff val="6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180975</xdr:colOff>
      <xdr:row>15</xdr:row>
      <xdr:rowOff>0</xdr:rowOff>
    </xdr:from>
    <xdr:to>
      <xdr:col>4</xdr:col>
      <xdr:colOff>501015</xdr:colOff>
      <xdr:row>16</xdr:row>
      <xdr:rowOff>0</xdr:rowOff>
    </xdr:to>
    <xdr:sp macro="" textlink="">
      <xdr:nvSpPr>
        <xdr:cNvPr id="202" name="Down Arrow 201"/>
        <xdr:cNvSpPr/>
      </xdr:nvSpPr>
      <xdr:spPr>
        <a:xfrm>
          <a:off x="904875" y="2428875"/>
          <a:ext cx="320040" cy="381000"/>
        </a:xfrm>
        <a:prstGeom prst="downArrow">
          <a:avLst/>
        </a:prstGeom>
        <a:solidFill>
          <a:srgbClr val="77B8E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190500</xdr:colOff>
      <xdr:row>15</xdr:row>
      <xdr:rowOff>0</xdr:rowOff>
    </xdr:from>
    <xdr:to>
      <xdr:col>10</xdr:col>
      <xdr:colOff>510540</xdr:colOff>
      <xdr:row>16</xdr:row>
      <xdr:rowOff>0</xdr:rowOff>
    </xdr:to>
    <xdr:sp macro="" textlink="">
      <xdr:nvSpPr>
        <xdr:cNvPr id="203" name="Down Arrow 202"/>
        <xdr:cNvSpPr/>
      </xdr:nvSpPr>
      <xdr:spPr>
        <a:xfrm>
          <a:off x="3067050" y="2428875"/>
          <a:ext cx="320040" cy="381000"/>
        </a:xfrm>
        <a:prstGeom prst="downArrow">
          <a:avLst/>
        </a:prstGeom>
        <a:solidFill>
          <a:srgbClr val="77B8E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207169</xdr:colOff>
      <xdr:row>15</xdr:row>
      <xdr:rowOff>0</xdr:rowOff>
    </xdr:from>
    <xdr:to>
      <xdr:col>16</xdr:col>
      <xdr:colOff>527209</xdr:colOff>
      <xdr:row>16</xdr:row>
      <xdr:rowOff>0</xdr:rowOff>
    </xdr:to>
    <xdr:sp macro="" textlink="">
      <xdr:nvSpPr>
        <xdr:cNvPr id="204" name="Down Arrow 203"/>
        <xdr:cNvSpPr/>
      </xdr:nvSpPr>
      <xdr:spPr>
        <a:xfrm>
          <a:off x="5236369" y="2428875"/>
          <a:ext cx="320040" cy="381000"/>
        </a:xfrm>
        <a:prstGeom prst="downArrow">
          <a:avLst/>
        </a:prstGeom>
        <a:solidFill>
          <a:srgbClr val="77B8E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211931</xdr:colOff>
      <xdr:row>16</xdr:row>
      <xdr:rowOff>0</xdr:rowOff>
    </xdr:from>
    <xdr:to>
      <xdr:col>22</xdr:col>
      <xdr:colOff>531971</xdr:colOff>
      <xdr:row>16</xdr:row>
      <xdr:rowOff>0</xdr:rowOff>
    </xdr:to>
    <xdr:sp macro="" textlink="">
      <xdr:nvSpPr>
        <xdr:cNvPr id="205" name="Down Arrow 204"/>
        <xdr:cNvSpPr/>
      </xdr:nvSpPr>
      <xdr:spPr>
        <a:xfrm flipV="1">
          <a:off x="7393781" y="2581275"/>
          <a:ext cx="320040" cy="228600"/>
        </a:xfrm>
        <a:prstGeom prst="downArrow">
          <a:avLst/>
        </a:prstGeom>
        <a:solidFill>
          <a:srgbClr val="77B8E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10</xdr:col>
      <xdr:colOff>8017</xdr:colOff>
      <xdr:row>11</xdr:row>
      <xdr:rowOff>57150</xdr:rowOff>
    </xdr:from>
    <xdr:ext cx="271092" cy="274320"/>
    <xdr:pic>
      <xdr:nvPicPr>
        <xdr:cNvPr id="206" name="Picture 205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567" y="1733550"/>
          <a:ext cx="271092" cy="274320"/>
        </a:xfrm>
        <a:prstGeom prst="rect">
          <a:avLst/>
        </a:prstGeom>
      </xdr:spPr>
    </xdr:pic>
    <xdr:clientData/>
  </xdr:oneCellAnchor>
  <xdr:oneCellAnchor>
    <xdr:from>
      <xdr:col>16</xdr:col>
      <xdr:colOff>31144</xdr:colOff>
      <xdr:row>11</xdr:row>
      <xdr:rowOff>28575</xdr:rowOff>
    </xdr:from>
    <xdr:ext cx="267939" cy="274320"/>
    <xdr:pic>
      <xdr:nvPicPr>
        <xdr:cNvPr id="207" name="Picture 20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0344" y="1695450"/>
          <a:ext cx="267939" cy="302895"/>
        </a:xfrm>
        <a:prstGeom prst="rect">
          <a:avLst/>
        </a:prstGeom>
      </xdr:spPr>
    </xdr:pic>
    <xdr:clientData/>
  </xdr:oneCellAnchor>
  <xdr:oneCellAnchor>
    <xdr:from>
      <xdr:col>4</xdr:col>
      <xdr:colOff>19050</xdr:colOff>
      <xdr:row>11</xdr:row>
      <xdr:rowOff>57150</xdr:rowOff>
    </xdr:from>
    <xdr:ext cx="268014" cy="274320"/>
    <xdr:pic>
      <xdr:nvPicPr>
        <xdr:cNvPr id="208" name="Picture 207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" y="1733550"/>
          <a:ext cx="268014" cy="274320"/>
        </a:xfrm>
        <a:prstGeom prst="rect">
          <a:avLst/>
        </a:prstGeom>
      </xdr:spPr>
    </xdr:pic>
    <xdr:clientData/>
  </xdr:oneCellAnchor>
  <xdr:oneCellAnchor>
    <xdr:from>
      <xdr:col>22</xdr:col>
      <xdr:colOff>9524</xdr:colOff>
      <xdr:row>11</xdr:row>
      <xdr:rowOff>28575</xdr:rowOff>
    </xdr:from>
    <xdr:ext cx="274320" cy="274320"/>
    <xdr:pic>
      <xdr:nvPicPr>
        <xdr:cNvPr id="209" name="Picture 208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-1" r="-463" b="19270"/>
        <a:stretch/>
      </xdr:blipFill>
      <xdr:spPr>
        <a:xfrm>
          <a:off x="7191374" y="1695450"/>
          <a:ext cx="274320" cy="302895"/>
        </a:xfrm>
        <a:prstGeom prst="rect">
          <a:avLst/>
        </a:prstGeom>
      </xdr:spPr>
    </xdr:pic>
    <xdr:clientData/>
  </xdr:oneCellAnchor>
  <xdr:twoCellAnchor>
    <xdr:from>
      <xdr:col>15</xdr:col>
      <xdr:colOff>0</xdr:colOff>
      <xdr:row>11</xdr:row>
      <xdr:rowOff>0</xdr:rowOff>
    </xdr:from>
    <xdr:to>
      <xdr:col>26</xdr:col>
      <xdr:colOff>8763</xdr:colOff>
      <xdr:row>18</xdr:row>
      <xdr:rowOff>0</xdr:rowOff>
    </xdr:to>
    <xdr:sp macro="" textlink="">
      <xdr:nvSpPr>
        <xdr:cNvPr id="210" name="TextBox 209"/>
        <xdr:cNvSpPr txBox="1"/>
      </xdr:nvSpPr>
      <xdr:spPr>
        <a:xfrm>
          <a:off x="4914900" y="1676400"/>
          <a:ext cx="4133088" cy="15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16</xdr:col>
      <xdr:colOff>161925</xdr:colOff>
      <xdr:row>67</xdr:row>
      <xdr:rowOff>0</xdr:rowOff>
    </xdr:from>
    <xdr:to>
      <xdr:col>26</xdr:col>
      <xdr:colOff>47625</xdr:colOff>
      <xdr:row>82</xdr:row>
      <xdr:rowOff>80271</xdr:rowOff>
    </xdr:to>
    <xdr:grpSp>
      <xdr:nvGrpSpPr>
        <xdr:cNvPr id="211" name="Group 210"/>
        <xdr:cNvGrpSpPr>
          <a:grpSpLocks noChangeAspect="1"/>
        </xdr:cNvGrpSpPr>
      </xdr:nvGrpSpPr>
      <xdr:grpSpPr>
        <a:xfrm>
          <a:off x="5057775" y="12049125"/>
          <a:ext cx="3829050" cy="2509146"/>
          <a:chOff x="7469019" y="1058304"/>
          <a:chExt cx="7589653" cy="4884012"/>
        </a:xfrm>
      </xdr:grpSpPr>
      <xdr:sp macro="" textlink="">
        <xdr:nvSpPr>
          <xdr:cNvPr id="212" name="Parallelogram 211"/>
          <xdr:cNvSpPr/>
        </xdr:nvSpPr>
        <xdr:spPr>
          <a:xfrm flipH="1">
            <a:off x="8509665" y="2645698"/>
            <a:ext cx="894665" cy="1593673"/>
          </a:xfrm>
          <a:prstGeom prst="parallelogram">
            <a:avLst>
              <a:gd name="adj" fmla="val 36753"/>
            </a:avLst>
          </a:prstGeom>
          <a:gradFill>
            <a:gsLst>
              <a:gs pos="25000">
                <a:srgbClr val="FFFF00"/>
              </a:gs>
              <a:gs pos="1000">
                <a:srgbClr val="FFC000"/>
              </a:gs>
              <a:gs pos="100000">
                <a:srgbClr val="86C6FA"/>
              </a:gs>
            </a:gsLst>
            <a:lin ang="54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13" name="Parallelogram 212"/>
          <xdr:cNvSpPr/>
        </xdr:nvSpPr>
        <xdr:spPr>
          <a:xfrm>
            <a:off x="10323852" y="2652268"/>
            <a:ext cx="903842" cy="1593673"/>
          </a:xfrm>
          <a:prstGeom prst="parallelogram">
            <a:avLst>
              <a:gd name="adj" fmla="val 36753"/>
            </a:avLst>
          </a:prstGeom>
          <a:gradFill>
            <a:gsLst>
              <a:gs pos="25000">
                <a:srgbClr val="FFFF00"/>
              </a:gs>
              <a:gs pos="1000">
                <a:srgbClr val="FFC000"/>
              </a:gs>
              <a:gs pos="100000">
                <a:srgbClr val="86C6FA"/>
              </a:gs>
            </a:gsLst>
            <a:lin ang="54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14" name="Oval 213"/>
          <xdr:cNvSpPr/>
        </xdr:nvSpPr>
        <xdr:spPr bwMode="auto">
          <a:xfrm>
            <a:off x="7605999" y="1264033"/>
            <a:ext cx="961906" cy="898142"/>
          </a:xfrm>
          <a:prstGeom prst="ellipse">
            <a:avLst/>
          </a:prstGeom>
          <a:pattFill prst="pct10">
            <a:fgClr>
              <a:schemeClr val="accent1"/>
            </a:fgClr>
            <a:bgClr>
              <a:schemeClr val="bg1"/>
            </a:bgClr>
          </a:pattFill>
          <a:ln w="19050">
            <a:noFill/>
            <a:round/>
            <a:headEnd/>
            <a:tailEnd/>
          </a:ln>
          <a:extLst/>
        </xdr:spPr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215" name="Line 33"/>
          <xdr:cNvSpPr>
            <a:spLocks noChangeShapeType="1"/>
          </xdr:cNvSpPr>
        </xdr:nvSpPr>
        <xdr:spPr bwMode="auto">
          <a:xfrm>
            <a:off x="13052001" y="5156616"/>
            <a:ext cx="627907" cy="0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6" name="AutoShape 2"/>
          <xdr:cNvSpPr>
            <a:spLocks noChangeArrowheads="1"/>
          </xdr:cNvSpPr>
        </xdr:nvSpPr>
        <xdr:spPr bwMode="auto">
          <a:xfrm>
            <a:off x="9295914" y="1058304"/>
            <a:ext cx="1415133" cy="1283687"/>
          </a:xfrm>
          <a:prstGeom prst="cloudCallout">
            <a:avLst>
              <a:gd name="adj1" fmla="val -11670"/>
              <a:gd name="adj2" fmla="val 3417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217" name="Line 6"/>
          <xdr:cNvSpPr>
            <a:spLocks noChangeShapeType="1"/>
          </xdr:cNvSpPr>
        </xdr:nvSpPr>
        <xdr:spPr bwMode="auto">
          <a:xfrm>
            <a:off x="10922622" y="2348734"/>
            <a:ext cx="0" cy="298712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 type="stealth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8" name="Line 7"/>
          <xdr:cNvSpPr>
            <a:spLocks noChangeShapeType="1"/>
          </xdr:cNvSpPr>
        </xdr:nvSpPr>
        <xdr:spPr bwMode="auto">
          <a:xfrm>
            <a:off x="8432965" y="2647446"/>
            <a:ext cx="2863231" cy="0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19" name="Group 218"/>
          <xdr:cNvGrpSpPr/>
        </xdr:nvGrpSpPr>
        <xdr:grpSpPr>
          <a:xfrm>
            <a:off x="9923313" y="5155314"/>
            <a:ext cx="591251" cy="382350"/>
            <a:chOff x="1998889" y="8051347"/>
            <a:chExt cx="504825" cy="302078"/>
          </a:xfrm>
        </xdr:grpSpPr>
        <xdr:sp macro="" textlink="">
          <xdr:nvSpPr>
            <xdr:cNvPr id="366" name="AutoShape 28"/>
            <xdr:cNvSpPr>
              <a:spLocks noChangeArrowheads="1"/>
            </xdr:cNvSpPr>
          </xdr:nvSpPr>
          <xdr:spPr bwMode="auto">
            <a:xfrm flipH="1" flipV="1">
              <a:off x="2056039" y="8240146"/>
              <a:ext cx="323850" cy="113279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447 w 21600"/>
                <a:gd name="T13" fmla="*/ 5400 h 21600"/>
                <a:gd name="T14" fmla="*/ 17153 w 21600"/>
                <a:gd name="T15" fmla="*/ 180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5400" y="21600"/>
                  </a:lnTo>
                  <a:lnTo>
                    <a:pt x="16200" y="21600"/>
                  </a:lnTo>
                  <a:lnTo>
                    <a:pt x="21600" y="0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158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367" name="Oval 366"/>
            <xdr:cNvSpPr>
              <a:spLocks noChangeArrowheads="1"/>
            </xdr:cNvSpPr>
          </xdr:nvSpPr>
          <xdr:spPr bwMode="auto">
            <a:xfrm>
              <a:off x="2075089" y="8051347"/>
              <a:ext cx="285750" cy="245438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1587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  <xdr:sp macro="" textlink="">
          <xdr:nvSpPr>
            <xdr:cNvPr id="368" name="Line 30"/>
            <xdr:cNvSpPr>
              <a:spLocks noChangeShapeType="1"/>
            </xdr:cNvSpPr>
          </xdr:nvSpPr>
          <xdr:spPr bwMode="auto">
            <a:xfrm>
              <a:off x="1998889" y="8174066"/>
              <a:ext cx="219075" cy="0"/>
            </a:xfrm>
            <a:prstGeom prst="line">
              <a:avLst/>
            </a:prstGeom>
            <a:noFill/>
            <a:ln w="19050">
              <a:solidFill>
                <a:srgbClr val="0000FF"/>
              </a:solidFill>
              <a:round/>
              <a:headEnd/>
              <a:tailEnd type="oval" w="sm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cxnSp macro="">
          <xdr:nvCxnSpPr>
            <xdr:cNvPr id="369" name="AutoShape 31"/>
            <xdr:cNvCxnSpPr>
              <a:cxnSpLocks noChangeShapeType="1"/>
            </xdr:cNvCxnSpPr>
          </xdr:nvCxnSpPr>
          <xdr:spPr bwMode="auto">
            <a:xfrm>
              <a:off x="2217964" y="8051347"/>
              <a:ext cx="285750" cy="0"/>
            </a:xfrm>
            <a:prstGeom prst="straightConnector1">
              <a:avLst/>
            </a:prstGeom>
            <a:noFill/>
            <a:ln w="19050">
              <a:solidFill>
                <a:srgbClr val="0000FF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sp macro="" textlink="">
        <xdr:nvSpPr>
          <xdr:cNvPr id="220" name="Line 33"/>
          <xdr:cNvSpPr>
            <a:spLocks noChangeShapeType="1"/>
          </xdr:cNvSpPr>
        </xdr:nvSpPr>
        <xdr:spPr bwMode="auto">
          <a:xfrm>
            <a:off x="10338237" y="5155336"/>
            <a:ext cx="1307601" cy="0"/>
          </a:xfrm>
          <a:prstGeom prst="line">
            <a:avLst/>
          </a:prstGeom>
          <a:noFill/>
          <a:ln w="19050">
            <a:solidFill>
              <a:srgbClr val="0000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1" name="Line 35"/>
          <xdr:cNvSpPr>
            <a:spLocks noChangeShapeType="1"/>
          </xdr:cNvSpPr>
        </xdr:nvSpPr>
        <xdr:spPr bwMode="auto">
          <a:xfrm flipH="1" flipV="1">
            <a:off x="13660136" y="2348734"/>
            <a:ext cx="9369" cy="2807882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2" name="Line 36"/>
          <xdr:cNvSpPr>
            <a:spLocks noChangeShapeType="1"/>
          </xdr:cNvSpPr>
        </xdr:nvSpPr>
        <xdr:spPr bwMode="auto">
          <a:xfrm>
            <a:off x="9931698" y="4878388"/>
            <a:ext cx="0" cy="440343"/>
          </a:xfrm>
          <a:prstGeom prst="line">
            <a:avLst/>
          </a:prstGeom>
          <a:noFill/>
          <a:ln w="19050">
            <a:solidFill>
              <a:srgbClr val="0000FF"/>
            </a:solidFill>
            <a:round/>
            <a:headEnd type="diamond" w="sm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3" name="Line 39"/>
          <xdr:cNvSpPr>
            <a:spLocks noChangeShapeType="1"/>
          </xdr:cNvSpPr>
        </xdr:nvSpPr>
        <xdr:spPr bwMode="auto">
          <a:xfrm rot="16200000">
            <a:off x="13743468" y="3484692"/>
            <a:ext cx="723002" cy="0"/>
          </a:xfrm>
          <a:prstGeom prst="line">
            <a:avLst/>
          </a:prstGeom>
          <a:noFill/>
          <a:ln w="15875">
            <a:solidFill>
              <a:srgbClr val="E87706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24" name="Group 223"/>
          <xdr:cNvGrpSpPr/>
        </xdr:nvGrpSpPr>
        <xdr:grpSpPr>
          <a:xfrm>
            <a:off x="14020848" y="3297176"/>
            <a:ext cx="321961" cy="340400"/>
            <a:chOff x="6637220" y="6048469"/>
            <a:chExt cx="327314" cy="270338"/>
          </a:xfrm>
        </xdr:grpSpPr>
        <xdr:sp macro="" textlink="">
          <xdr:nvSpPr>
            <xdr:cNvPr id="363" name="AutoShape 40"/>
            <xdr:cNvSpPr>
              <a:spLocks noChangeArrowheads="1"/>
            </xdr:cNvSpPr>
          </xdr:nvSpPr>
          <xdr:spPr bwMode="auto">
            <a:xfrm>
              <a:off x="6637220" y="6048469"/>
              <a:ext cx="163657" cy="270338"/>
            </a:xfrm>
            <a:prstGeom prst="flowChartCollat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Rectangle 363"/>
            <xdr:cNvSpPr>
              <a:spLocks noChangeArrowheads="1"/>
            </xdr:cNvSpPr>
          </xdr:nvSpPr>
          <xdr:spPr bwMode="auto">
            <a:xfrm rot="5400000">
              <a:off x="6831892" y="6102266"/>
              <a:ext cx="130508" cy="134776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</a:t>
              </a:r>
              <a:endParaRPr lang="en-US" sz="900"/>
            </a:p>
          </xdr:txBody>
        </xdr:sp>
        <xdr:sp macro="" textlink="">
          <xdr:nvSpPr>
            <xdr:cNvPr id="365" name="Line 42"/>
            <xdr:cNvSpPr>
              <a:spLocks noChangeShapeType="1"/>
            </xdr:cNvSpPr>
          </xdr:nvSpPr>
          <xdr:spPr bwMode="auto">
            <a:xfrm rot="5400000" flipH="1" flipV="1">
              <a:off x="6771996" y="6121368"/>
              <a:ext cx="0" cy="105896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225" name="Group 224"/>
          <xdr:cNvGrpSpPr/>
        </xdr:nvGrpSpPr>
        <xdr:grpSpPr>
          <a:xfrm>
            <a:off x="11629572" y="4881802"/>
            <a:ext cx="1617466" cy="549629"/>
            <a:chOff x="4867275" y="6391275"/>
            <a:chExt cx="2409825" cy="790575"/>
          </a:xfrm>
        </xdr:grpSpPr>
        <xdr:grpSp>
          <xdr:nvGrpSpPr>
            <xdr:cNvPr id="276" name="Group 427"/>
            <xdr:cNvGrpSpPr>
              <a:grpSpLocks/>
            </xdr:cNvGrpSpPr>
          </xdr:nvGrpSpPr>
          <xdr:grpSpPr bwMode="auto">
            <a:xfrm>
              <a:off x="6705600" y="6457950"/>
              <a:ext cx="571500" cy="638175"/>
              <a:chOff x="1783" y="1639"/>
              <a:chExt cx="217" cy="217"/>
            </a:xfrm>
          </xdr:grpSpPr>
          <xdr:grpSp>
            <xdr:nvGrpSpPr>
              <xdr:cNvPr id="349" name="Group 428"/>
              <xdr:cNvGrpSpPr>
                <a:grpSpLocks/>
              </xdr:cNvGrpSpPr>
            </xdr:nvGrpSpPr>
            <xdr:grpSpPr bwMode="auto">
              <a:xfrm>
                <a:off x="1783" y="1639"/>
                <a:ext cx="217" cy="217"/>
                <a:chOff x="1783" y="1639"/>
                <a:chExt cx="217" cy="217"/>
              </a:xfrm>
            </xdr:grpSpPr>
            <xdr:sp macro="" textlink="">
              <xdr:nvSpPr>
                <xdr:cNvPr id="351" name="Oval 429"/>
                <xdr:cNvSpPr>
                  <a:spLocks noChangeArrowheads="1"/>
                </xdr:cNvSpPr>
              </xdr:nvSpPr>
              <xdr:spPr bwMode="auto">
                <a:xfrm>
                  <a:off x="1783" y="1639"/>
                  <a:ext cx="217" cy="217"/>
                </a:xfrm>
                <a:prstGeom prst="ellipse">
                  <a:avLst/>
                </a:prstGeom>
                <a:solidFill>
                  <a:srgbClr val="7A8E99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52" name="Oval 430"/>
                <xdr:cNvSpPr>
                  <a:spLocks noChangeArrowheads="1"/>
                </xdr:cNvSpPr>
              </xdr:nvSpPr>
              <xdr:spPr bwMode="auto">
                <a:xfrm>
                  <a:off x="1783" y="1639"/>
                  <a:ext cx="205" cy="205"/>
                </a:xfrm>
                <a:prstGeom prst="ellipse">
                  <a:avLst/>
                </a:prstGeom>
                <a:solidFill>
                  <a:srgbClr val="7C919C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53" name="Oval 431"/>
                <xdr:cNvSpPr>
                  <a:spLocks noChangeArrowheads="1"/>
                </xdr:cNvSpPr>
              </xdr:nvSpPr>
              <xdr:spPr bwMode="auto">
                <a:xfrm>
                  <a:off x="1795" y="1651"/>
                  <a:ext cx="181" cy="181"/>
                </a:xfrm>
                <a:prstGeom prst="ellipse">
                  <a:avLst/>
                </a:prstGeom>
                <a:solidFill>
                  <a:srgbClr val="8196A2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54" name="Oval 432"/>
                <xdr:cNvSpPr>
                  <a:spLocks noChangeArrowheads="1"/>
                </xdr:cNvSpPr>
              </xdr:nvSpPr>
              <xdr:spPr bwMode="auto">
                <a:xfrm>
                  <a:off x="1801" y="1657"/>
                  <a:ext cx="169" cy="169"/>
                </a:xfrm>
                <a:prstGeom prst="ellipse">
                  <a:avLst/>
                </a:prstGeom>
                <a:solidFill>
                  <a:srgbClr val="889EAA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55" name="Oval 433"/>
                <xdr:cNvSpPr>
                  <a:spLocks noChangeArrowheads="1"/>
                </xdr:cNvSpPr>
              </xdr:nvSpPr>
              <xdr:spPr bwMode="auto">
                <a:xfrm>
                  <a:off x="1814" y="1669"/>
                  <a:ext cx="144" cy="145"/>
                </a:xfrm>
                <a:prstGeom prst="ellipse">
                  <a:avLst/>
                </a:prstGeom>
                <a:solidFill>
                  <a:srgbClr val="92A9B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56" name="Oval 434"/>
                <xdr:cNvSpPr>
                  <a:spLocks noChangeArrowheads="1"/>
                </xdr:cNvSpPr>
              </xdr:nvSpPr>
              <xdr:spPr bwMode="auto">
                <a:xfrm>
                  <a:off x="1820" y="1675"/>
                  <a:ext cx="132" cy="133"/>
                </a:xfrm>
                <a:prstGeom prst="ellipse">
                  <a:avLst/>
                </a:prstGeom>
                <a:solidFill>
                  <a:srgbClr val="9CB5C4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57" name="Oval 435"/>
                <xdr:cNvSpPr>
                  <a:spLocks noChangeArrowheads="1"/>
                </xdr:cNvSpPr>
              </xdr:nvSpPr>
              <xdr:spPr bwMode="auto">
                <a:xfrm>
                  <a:off x="1832" y="1687"/>
                  <a:ext cx="108" cy="109"/>
                </a:xfrm>
                <a:prstGeom prst="ellipse">
                  <a:avLst/>
                </a:prstGeom>
                <a:solidFill>
                  <a:srgbClr val="A7C2D1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58" name="Oval 436"/>
                <xdr:cNvSpPr>
                  <a:spLocks noChangeArrowheads="1"/>
                </xdr:cNvSpPr>
              </xdr:nvSpPr>
              <xdr:spPr bwMode="auto">
                <a:xfrm>
                  <a:off x="1844" y="1699"/>
                  <a:ext cx="90" cy="91"/>
                </a:xfrm>
                <a:prstGeom prst="ellipse">
                  <a:avLst/>
                </a:prstGeom>
                <a:solidFill>
                  <a:srgbClr val="B2CEDF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59" name="Oval 437"/>
                <xdr:cNvSpPr>
                  <a:spLocks noChangeArrowheads="1"/>
                </xdr:cNvSpPr>
              </xdr:nvSpPr>
              <xdr:spPr bwMode="auto">
                <a:xfrm>
                  <a:off x="1850" y="1705"/>
                  <a:ext cx="78" cy="79"/>
                </a:xfrm>
                <a:prstGeom prst="ellipse">
                  <a:avLst/>
                </a:prstGeom>
                <a:solidFill>
                  <a:srgbClr val="BBD9EA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60" name="Oval 438"/>
                <xdr:cNvSpPr>
                  <a:spLocks noChangeArrowheads="1"/>
                </xdr:cNvSpPr>
              </xdr:nvSpPr>
              <xdr:spPr bwMode="auto">
                <a:xfrm>
                  <a:off x="1862" y="1717"/>
                  <a:ext cx="54" cy="55"/>
                </a:xfrm>
                <a:prstGeom prst="ellipse">
                  <a:avLst/>
                </a:prstGeom>
                <a:solidFill>
                  <a:srgbClr val="C2E0F3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61" name="Oval 439"/>
                <xdr:cNvSpPr>
                  <a:spLocks noChangeArrowheads="1"/>
                </xdr:cNvSpPr>
              </xdr:nvSpPr>
              <xdr:spPr bwMode="auto">
                <a:xfrm>
                  <a:off x="1868" y="1723"/>
                  <a:ext cx="42" cy="43"/>
                </a:xfrm>
                <a:prstGeom prst="ellipse">
                  <a:avLst/>
                </a:prstGeom>
                <a:solidFill>
                  <a:srgbClr val="C7E6F9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62" name="Oval 440"/>
                <xdr:cNvSpPr>
                  <a:spLocks noChangeArrowheads="1"/>
                </xdr:cNvSpPr>
              </xdr:nvSpPr>
              <xdr:spPr bwMode="auto">
                <a:xfrm>
                  <a:off x="1880" y="1736"/>
                  <a:ext cx="18" cy="18"/>
                </a:xfrm>
                <a:prstGeom prst="ellipse">
                  <a:avLst/>
                </a:prstGeom>
                <a:solidFill>
                  <a:srgbClr val="CAEAFC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350" name="Oval 441"/>
              <xdr:cNvSpPr>
                <a:spLocks noChangeArrowheads="1"/>
              </xdr:cNvSpPr>
            </xdr:nvSpPr>
            <xdr:spPr bwMode="auto">
              <a:xfrm>
                <a:off x="1783" y="1639"/>
                <a:ext cx="217" cy="217"/>
              </a:xfrm>
              <a:prstGeom prst="ellipse">
                <a:avLst/>
              </a:prstGeom>
              <a:noFill/>
              <a:ln w="9525">
                <a:solidFill>
                  <a:srgbClr val="919191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</xdr:grpSp>
        <xdr:grpSp>
          <xdr:nvGrpSpPr>
            <xdr:cNvPr id="277" name="Group 427"/>
            <xdr:cNvGrpSpPr>
              <a:grpSpLocks/>
            </xdr:cNvGrpSpPr>
          </xdr:nvGrpSpPr>
          <xdr:grpSpPr bwMode="auto">
            <a:xfrm>
              <a:off x="4867275" y="6457950"/>
              <a:ext cx="571500" cy="638175"/>
              <a:chOff x="1783" y="1639"/>
              <a:chExt cx="217" cy="217"/>
            </a:xfrm>
          </xdr:grpSpPr>
          <xdr:grpSp>
            <xdr:nvGrpSpPr>
              <xdr:cNvPr id="335" name="Group 428"/>
              <xdr:cNvGrpSpPr>
                <a:grpSpLocks/>
              </xdr:cNvGrpSpPr>
            </xdr:nvGrpSpPr>
            <xdr:grpSpPr bwMode="auto">
              <a:xfrm>
                <a:off x="1783" y="1639"/>
                <a:ext cx="217" cy="217"/>
                <a:chOff x="1783" y="1639"/>
                <a:chExt cx="217" cy="217"/>
              </a:xfrm>
            </xdr:grpSpPr>
            <xdr:sp macro="" textlink="">
              <xdr:nvSpPr>
                <xdr:cNvPr id="337" name="Oval 429"/>
                <xdr:cNvSpPr>
                  <a:spLocks noChangeArrowheads="1"/>
                </xdr:cNvSpPr>
              </xdr:nvSpPr>
              <xdr:spPr bwMode="auto">
                <a:xfrm>
                  <a:off x="1783" y="1639"/>
                  <a:ext cx="217" cy="217"/>
                </a:xfrm>
                <a:prstGeom prst="ellipse">
                  <a:avLst/>
                </a:prstGeom>
                <a:solidFill>
                  <a:srgbClr val="7A8E99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38" name="Oval 430"/>
                <xdr:cNvSpPr>
                  <a:spLocks noChangeArrowheads="1"/>
                </xdr:cNvSpPr>
              </xdr:nvSpPr>
              <xdr:spPr bwMode="auto">
                <a:xfrm>
                  <a:off x="1783" y="1639"/>
                  <a:ext cx="205" cy="205"/>
                </a:xfrm>
                <a:prstGeom prst="ellipse">
                  <a:avLst/>
                </a:prstGeom>
                <a:solidFill>
                  <a:srgbClr val="7C919C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39" name="Oval 431"/>
                <xdr:cNvSpPr>
                  <a:spLocks noChangeArrowheads="1"/>
                </xdr:cNvSpPr>
              </xdr:nvSpPr>
              <xdr:spPr bwMode="auto">
                <a:xfrm>
                  <a:off x="1795" y="1651"/>
                  <a:ext cx="181" cy="181"/>
                </a:xfrm>
                <a:prstGeom prst="ellipse">
                  <a:avLst/>
                </a:prstGeom>
                <a:solidFill>
                  <a:srgbClr val="8196A2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40" name="Oval 432"/>
                <xdr:cNvSpPr>
                  <a:spLocks noChangeArrowheads="1"/>
                </xdr:cNvSpPr>
              </xdr:nvSpPr>
              <xdr:spPr bwMode="auto">
                <a:xfrm>
                  <a:off x="1801" y="1657"/>
                  <a:ext cx="169" cy="169"/>
                </a:xfrm>
                <a:prstGeom prst="ellipse">
                  <a:avLst/>
                </a:prstGeom>
                <a:solidFill>
                  <a:srgbClr val="889EAA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41" name="Oval 433"/>
                <xdr:cNvSpPr>
                  <a:spLocks noChangeArrowheads="1"/>
                </xdr:cNvSpPr>
              </xdr:nvSpPr>
              <xdr:spPr bwMode="auto">
                <a:xfrm>
                  <a:off x="1814" y="1669"/>
                  <a:ext cx="144" cy="145"/>
                </a:xfrm>
                <a:prstGeom prst="ellipse">
                  <a:avLst/>
                </a:prstGeom>
                <a:solidFill>
                  <a:srgbClr val="92A9B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42" name="Oval 434"/>
                <xdr:cNvSpPr>
                  <a:spLocks noChangeArrowheads="1"/>
                </xdr:cNvSpPr>
              </xdr:nvSpPr>
              <xdr:spPr bwMode="auto">
                <a:xfrm>
                  <a:off x="1820" y="1675"/>
                  <a:ext cx="132" cy="133"/>
                </a:xfrm>
                <a:prstGeom prst="ellipse">
                  <a:avLst/>
                </a:prstGeom>
                <a:solidFill>
                  <a:srgbClr val="9CB5C4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43" name="Oval 435"/>
                <xdr:cNvSpPr>
                  <a:spLocks noChangeArrowheads="1"/>
                </xdr:cNvSpPr>
              </xdr:nvSpPr>
              <xdr:spPr bwMode="auto">
                <a:xfrm>
                  <a:off x="1832" y="1687"/>
                  <a:ext cx="108" cy="109"/>
                </a:xfrm>
                <a:prstGeom prst="ellipse">
                  <a:avLst/>
                </a:prstGeom>
                <a:solidFill>
                  <a:srgbClr val="A7C2D1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44" name="Oval 436"/>
                <xdr:cNvSpPr>
                  <a:spLocks noChangeArrowheads="1"/>
                </xdr:cNvSpPr>
              </xdr:nvSpPr>
              <xdr:spPr bwMode="auto">
                <a:xfrm>
                  <a:off x="1844" y="1699"/>
                  <a:ext cx="90" cy="91"/>
                </a:xfrm>
                <a:prstGeom prst="ellipse">
                  <a:avLst/>
                </a:prstGeom>
                <a:solidFill>
                  <a:srgbClr val="B2CEDF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45" name="Oval 437"/>
                <xdr:cNvSpPr>
                  <a:spLocks noChangeArrowheads="1"/>
                </xdr:cNvSpPr>
              </xdr:nvSpPr>
              <xdr:spPr bwMode="auto">
                <a:xfrm>
                  <a:off x="1850" y="1705"/>
                  <a:ext cx="78" cy="79"/>
                </a:xfrm>
                <a:prstGeom prst="ellipse">
                  <a:avLst/>
                </a:prstGeom>
                <a:solidFill>
                  <a:srgbClr val="BBD9EA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46" name="Oval 438"/>
                <xdr:cNvSpPr>
                  <a:spLocks noChangeArrowheads="1"/>
                </xdr:cNvSpPr>
              </xdr:nvSpPr>
              <xdr:spPr bwMode="auto">
                <a:xfrm>
                  <a:off x="1862" y="1717"/>
                  <a:ext cx="54" cy="55"/>
                </a:xfrm>
                <a:prstGeom prst="ellipse">
                  <a:avLst/>
                </a:prstGeom>
                <a:solidFill>
                  <a:srgbClr val="C2E0F3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47" name="Oval 439"/>
                <xdr:cNvSpPr>
                  <a:spLocks noChangeArrowheads="1"/>
                </xdr:cNvSpPr>
              </xdr:nvSpPr>
              <xdr:spPr bwMode="auto">
                <a:xfrm>
                  <a:off x="1868" y="1723"/>
                  <a:ext cx="42" cy="43"/>
                </a:xfrm>
                <a:prstGeom prst="ellipse">
                  <a:avLst/>
                </a:prstGeom>
                <a:solidFill>
                  <a:srgbClr val="C7E6F9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48" name="Oval 440"/>
                <xdr:cNvSpPr>
                  <a:spLocks noChangeArrowheads="1"/>
                </xdr:cNvSpPr>
              </xdr:nvSpPr>
              <xdr:spPr bwMode="auto">
                <a:xfrm>
                  <a:off x="1880" y="1736"/>
                  <a:ext cx="18" cy="18"/>
                </a:xfrm>
                <a:prstGeom prst="ellipse">
                  <a:avLst/>
                </a:prstGeom>
                <a:solidFill>
                  <a:srgbClr val="CAEAFC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round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336" name="Oval 441"/>
              <xdr:cNvSpPr>
                <a:spLocks noChangeArrowheads="1"/>
              </xdr:cNvSpPr>
            </xdr:nvSpPr>
            <xdr:spPr bwMode="auto">
              <a:xfrm>
                <a:off x="1783" y="1639"/>
                <a:ext cx="217" cy="217"/>
              </a:xfrm>
              <a:prstGeom prst="ellipse">
                <a:avLst/>
              </a:prstGeom>
              <a:noFill/>
              <a:ln w="9525">
                <a:solidFill>
                  <a:srgbClr val="919191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</xdr:grpSp>
        <xdr:grpSp>
          <xdr:nvGrpSpPr>
            <xdr:cNvPr id="278" name="Group 457"/>
            <xdr:cNvGrpSpPr>
              <a:grpSpLocks/>
            </xdr:cNvGrpSpPr>
          </xdr:nvGrpSpPr>
          <xdr:grpSpPr bwMode="auto">
            <a:xfrm rot="10800000">
              <a:off x="5181600" y="6467475"/>
              <a:ext cx="1800225" cy="628650"/>
              <a:chOff x="2294" y="706"/>
              <a:chExt cx="991" cy="242"/>
            </a:xfrm>
          </xdr:grpSpPr>
          <xdr:grpSp>
            <xdr:nvGrpSpPr>
              <xdr:cNvPr id="317" name="Group 458"/>
              <xdr:cNvGrpSpPr>
                <a:grpSpLocks/>
              </xdr:cNvGrpSpPr>
            </xdr:nvGrpSpPr>
            <xdr:grpSpPr bwMode="auto">
              <a:xfrm>
                <a:off x="2294" y="706"/>
                <a:ext cx="991" cy="242"/>
                <a:chOff x="2294" y="706"/>
                <a:chExt cx="991" cy="242"/>
              </a:xfrm>
            </xdr:grpSpPr>
            <xdr:sp macro="" textlink="">
              <xdr:nvSpPr>
                <xdr:cNvPr id="319" name="Rectangle 459"/>
                <xdr:cNvSpPr>
                  <a:spLocks noChangeArrowheads="1"/>
                </xdr:cNvSpPr>
              </xdr:nvSpPr>
              <xdr:spPr bwMode="auto">
                <a:xfrm>
                  <a:off x="2294" y="706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20" name="Rectangle 460"/>
                <xdr:cNvSpPr>
                  <a:spLocks noChangeArrowheads="1"/>
                </xdr:cNvSpPr>
              </xdr:nvSpPr>
              <xdr:spPr bwMode="auto">
                <a:xfrm>
                  <a:off x="2294" y="718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21" name="Rectangle 461"/>
                <xdr:cNvSpPr>
                  <a:spLocks noChangeArrowheads="1"/>
                </xdr:cNvSpPr>
              </xdr:nvSpPr>
              <xdr:spPr bwMode="auto">
                <a:xfrm>
                  <a:off x="2294" y="730"/>
                  <a:ext cx="991" cy="24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22" name="Rectangle 462"/>
                <xdr:cNvSpPr>
                  <a:spLocks noChangeArrowheads="1"/>
                </xdr:cNvSpPr>
              </xdr:nvSpPr>
              <xdr:spPr bwMode="auto">
                <a:xfrm>
                  <a:off x="2294" y="754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23" name="Rectangle 463"/>
                <xdr:cNvSpPr>
                  <a:spLocks noChangeArrowheads="1"/>
                </xdr:cNvSpPr>
              </xdr:nvSpPr>
              <xdr:spPr bwMode="auto">
                <a:xfrm>
                  <a:off x="2294" y="766"/>
                  <a:ext cx="991" cy="13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24" name="Rectangle 464"/>
                <xdr:cNvSpPr>
                  <a:spLocks noChangeArrowheads="1"/>
                </xdr:cNvSpPr>
              </xdr:nvSpPr>
              <xdr:spPr bwMode="auto">
                <a:xfrm>
                  <a:off x="2294" y="779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25" name="Rectangle 465"/>
                <xdr:cNvSpPr>
                  <a:spLocks noChangeArrowheads="1"/>
                </xdr:cNvSpPr>
              </xdr:nvSpPr>
              <xdr:spPr bwMode="auto">
                <a:xfrm>
                  <a:off x="2294" y="791"/>
                  <a:ext cx="991" cy="24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26" name="Rectangle 466"/>
                <xdr:cNvSpPr>
                  <a:spLocks noChangeArrowheads="1"/>
                </xdr:cNvSpPr>
              </xdr:nvSpPr>
              <xdr:spPr bwMode="auto">
                <a:xfrm>
                  <a:off x="2294" y="815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27" name="Rectangle 467"/>
                <xdr:cNvSpPr>
                  <a:spLocks noChangeArrowheads="1"/>
                </xdr:cNvSpPr>
              </xdr:nvSpPr>
              <xdr:spPr bwMode="auto">
                <a:xfrm>
                  <a:off x="2294" y="827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28" name="Rectangle 468"/>
                <xdr:cNvSpPr>
                  <a:spLocks noChangeArrowheads="1"/>
                </xdr:cNvSpPr>
              </xdr:nvSpPr>
              <xdr:spPr bwMode="auto">
                <a:xfrm>
                  <a:off x="2294" y="839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29" name="Rectangle 469"/>
                <xdr:cNvSpPr>
                  <a:spLocks noChangeArrowheads="1"/>
                </xdr:cNvSpPr>
              </xdr:nvSpPr>
              <xdr:spPr bwMode="auto">
                <a:xfrm>
                  <a:off x="2294" y="851"/>
                  <a:ext cx="991" cy="24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30" name="Rectangle 470"/>
                <xdr:cNvSpPr>
                  <a:spLocks noChangeArrowheads="1"/>
                </xdr:cNvSpPr>
              </xdr:nvSpPr>
              <xdr:spPr bwMode="auto">
                <a:xfrm>
                  <a:off x="2294" y="875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31" name="Rectangle 471"/>
                <xdr:cNvSpPr>
                  <a:spLocks noChangeArrowheads="1"/>
                </xdr:cNvSpPr>
              </xdr:nvSpPr>
              <xdr:spPr bwMode="auto">
                <a:xfrm>
                  <a:off x="2294" y="887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32" name="Rectangle 472"/>
                <xdr:cNvSpPr>
                  <a:spLocks noChangeArrowheads="1"/>
                </xdr:cNvSpPr>
              </xdr:nvSpPr>
              <xdr:spPr bwMode="auto">
                <a:xfrm>
                  <a:off x="2294" y="899"/>
                  <a:ext cx="991" cy="13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33" name="Rectangle 473"/>
                <xdr:cNvSpPr>
                  <a:spLocks noChangeArrowheads="1"/>
                </xdr:cNvSpPr>
              </xdr:nvSpPr>
              <xdr:spPr bwMode="auto">
                <a:xfrm>
                  <a:off x="2294" y="912"/>
                  <a:ext cx="991" cy="24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sp macro="" textlink="">
              <xdr:nvSpPr>
                <xdr:cNvPr id="334" name="Rectangle 474"/>
                <xdr:cNvSpPr>
                  <a:spLocks noChangeArrowheads="1"/>
                </xdr:cNvSpPr>
              </xdr:nvSpPr>
              <xdr:spPr bwMode="auto">
                <a:xfrm>
                  <a:off x="2294" y="936"/>
                  <a:ext cx="991" cy="12"/>
                </a:xfrm>
                <a:prstGeom prst="rect">
                  <a:avLst/>
                </a:prstGeom>
                <a:gradFill rotWithShape="0">
                  <a:gsLst>
                    <a:gs pos="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  <a:gs pos="50000">
                      <a:srgbClr xmlns:mc="http://schemas.openxmlformats.org/markup-compatibility/2006" xmlns:a14="http://schemas.microsoft.com/office/drawing/2010/main" val="99CCFF" mc:Ignorable="a14" a14:legacySpreadsheetColorIndex="44"/>
                    </a:gs>
                    <a:gs pos="100000">
                      <a:srgbClr xmlns:mc="http://schemas.openxmlformats.org/markup-compatibility/2006" xmlns:a14="http://schemas.microsoft.com/office/drawing/2010/main" val="969696" mc:Ignorable="a14" a14:legacySpreadsheetColorIndex="55"/>
                    </a:gs>
                  </a:gsLst>
                  <a:lin ang="5400000" scaled="1"/>
                </a:gradFill>
                <a:ln w="9525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</xdr:grpSp>
          <xdr:sp macro="" textlink="">
            <xdr:nvSpPr>
              <xdr:cNvPr id="318" name="Rectangle 475"/>
              <xdr:cNvSpPr>
                <a:spLocks noChangeArrowheads="1"/>
              </xdr:cNvSpPr>
            </xdr:nvSpPr>
            <xdr:spPr bwMode="auto">
              <a:xfrm>
                <a:off x="2294" y="706"/>
                <a:ext cx="991" cy="242"/>
              </a:xfrm>
              <a:prstGeom prst="rect">
                <a:avLst/>
              </a:prstGeom>
              <a:gradFill rotWithShape="0">
                <a:gsLst>
                  <a:gs pos="0">
                    <a:srgbClr xmlns:mc="http://schemas.openxmlformats.org/markup-compatibility/2006" xmlns:a14="http://schemas.microsoft.com/office/drawing/2010/main" val="969696" mc:Ignorable="a14" a14:legacySpreadsheetColorIndex="55"/>
                  </a:gs>
                  <a:gs pos="50000">
                    <a:srgbClr xmlns:mc="http://schemas.openxmlformats.org/markup-compatibility/2006" xmlns:a14="http://schemas.microsoft.com/office/drawing/2010/main" val="99CCFF" mc:Ignorable="a14" a14:legacySpreadsheetColorIndex="44"/>
                  </a:gs>
                  <a:gs pos="100000">
                    <a:srgbClr xmlns:mc="http://schemas.openxmlformats.org/markup-compatibility/2006" xmlns:a14="http://schemas.microsoft.com/office/drawing/2010/main" val="969696" mc:Ignorable="a14" a14:legacySpreadsheetColorIndex="55"/>
                  </a:gs>
                </a:gsLst>
                <a:lin ang="5400000" scaled="1"/>
              </a:gradFill>
              <a:ln w="19050">
                <a:solidFill>
                  <a:srgbClr val="919191"/>
                </a:solidFill>
                <a:miter lim="800000"/>
                <a:headEnd/>
                <a:tailEnd/>
              </a:ln>
            </xdr:spPr>
          </xdr:sp>
        </xdr:grpSp>
        <xdr:grpSp>
          <xdr:nvGrpSpPr>
            <xdr:cNvPr id="279" name="Group 476"/>
            <xdr:cNvGrpSpPr>
              <a:grpSpLocks/>
            </xdr:cNvGrpSpPr>
          </xdr:nvGrpSpPr>
          <xdr:grpSpPr bwMode="auto">
            <a:xfrm>
              <a:off x="5114925" y="6391275"/>
              <a:ext cx="76200" cy="771525"/>
              <a:chOff x="2294" y="658"/>
              <a:chExt cx="61" cy="338"/>
            </a:xfrm>
          </xdr:grpSpPr>
          <xdr:grpSp>
            <xdr:nvGrpSpPr>
              <xdr:cNvPr id="299" name="Group 477"/>
              <xdr:cNvGrpSpPr>
                <a:grpSpLocks/>
              </xdr:cNvGrpSpPr>
            </xdr:nvGrpSpPr>
            <xdr:grpSpPr bwMode="auto">
              <a:xfrm>
                <a:off x="2294" y="658"/>
                <a:ext cx="61" cy="338"/>
                <a:chOff x="2294" y="658"/>
                <a:chExt cx="61" cy="338"/>
              </a:xfrm>
            </xdr:grpSpPr>
            <xdr:sp macro="" textlink="">
              <xdr:nvSpPr>
                <xdr:cNvPr id="301" name="Rectangle 478"/>
                <xdr:cNvSpPr>
                  <a:spLocks noChangeArrowheads="1"/>
                </xdr:cNvSpPr>
              </xdr:nvSpPr>
              <xdr:spPr bwMode="auto">
                <a:xfrm>
                  <a:off x="2294" y="658"/>
                  <a:ext cx="61" cy="24"/>
                </a:xfrm>
                <a:prstGeom prst="rect">
                  <a:avLst/>
                </a:prstGeom>
                <a:solidFill>
                  <a:srgbClr val="7C909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2" name="Rectangle 479"/>
                <xdr:cNvSpPr>
                  <a:spLocks noChangeArrowheads="1"/>
                </xdr:cNvSpPr>
              </xdr:nvSpPr>
              <xdr:spPr bwMode="auto">
                <a:xfrm>
                  <a:off x="2294" y="682"/>
                  <a:ext cx="61" cy="12"/>
                </a:xfrm>
                <a:prstGeom prst="rect">
                  <a:avLst/>
                </a:prstGeom>
                <a:solidFill>
                  <a:srgbClr val="8297A3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3" name="Rectangle 480"/>
                <xdr:cNvSpPr>
                  <a:spLocks noChangeArrowheads="1"/>
                </xdr:cNvSpPr>
              </xdr:nvSpPr>
              <xdr:spPr bwMode="auto">
                <a:xfrm>
                  <a:off x="2294" y="694"/>
                  <a:ext cx="61" cy="24"/>
                </a:xfrm>
                <a:prstGeom prst="rect">
                  <a:avLst/>
                </a:prstGeom>
                <a:solidFill>
                  <a:srgbClr val="8CA3B0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4" name="Rectangle 481"/>
                <xdr:cNvSpPr>
                  <a:spLocks noChangeArrowheads="1"/>
                </xdr:cNvSpPr>
              </xdr:nvSpPr>
              <xdr:spPr bwMode="auto">
                <a:xfrm>
                  <a:off x="2294" y="718"/>
                  <a:ext cx="61" cy="24"/>
                </a:xfrm>
                <a:prstGeom prst="rect">
                  <a:avLst/>
                </a:prstGeom>
                <a:solidFill>
                  <a:srgbClr val="9EB7C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5" name="Rectangle 482"/>
                <xdr:cNvSpPr>
                  <a:spLocks noChangeArrowheads="1"/>
                </xdr:cNvSpPr>
              </xdr:nvSpPr>
              <xdr:spPr bwMode="auto">
                <a:xfrm>
                  <a:off x="2294" y="742"/>
                  <a:ext cx="61" cy="24"/>
                </a:xfrm>
                <a:prstGeom prst="rect">
                  <a:avLst/>
                </a:prstGeom>
                <a:solidFill>
                  <a:srgbClr val="B1CDD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6" name="Rectangle 483"/>
                <xdr:cNvSpPr>
                  <a:spLocks noChangeArrowheads="1"/>
                </xdr:cNvSpPr>
              </xdr:nvSpPr>
              <xdr:spPr bwMode="auto">
                <a:xfrm>
                  <a:off x="2294" y="766"/>
                  <a:ext cx="61" cy="13"/>
                </a:xfrm>
                <a:prstGeom prst="rect">
                  <a:avLst/>
                </a:prstGeom>
                <a:solidFill>
                  <a:srgbClr val="BCDAE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7" name="Rectangle 484"/>
                <xdr:cNvSpPr>
                  <a:spLocks noChangeArrowheads="1"/>
                </xdr:cNvSpPr>
              </xdr:nvSpPr>
              <xdr:spPr bwMode="auto">
                <a:xfrm>
                  <a:off x="2294" y="779"/>
                  <a:ext cx="61" cy="24"/>
                </a:xfrm>
                <a:prstGeom prst="rect">
                  <a:avLst/>
                </a:prstGeom>
                <a:solidFill>
                  <a:srgbClr val="C4E3F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" name="Rectangle 485"/>
                <xdr:cNvSpPr>
                  <a:spLocks noChangeArrowheads="1"/>
                </xdr:cNvSpPr>
              </xdr:nvSpPr>
              <xdr:spPr bwMode="auto">
                <a:xfrm>
                  <a:off x="2294" y="803"/>
                  <a:ext cx="61" cy="24"/>
                </a:xfrm>
                <a:prstGeom prst="rect">
                  <a:avLst/>
                </a:prstGeom>
                <a:solidFill>
                  <a:srgbClr val="CAEAF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9" name="Rectangle 486"/>
                <xdr:cNvSpPr>
                  <a:spLocks noChangeArrowheads="1"/>
                </xdr:cNvSpPr>
              </xdr:nvSpPr>
              <xdr:spPr bwMode="auto">
                <a:xfrm>
                  <a:off x="2294" y="827"/>
                  <a:ext cx="61" cy="24"/>
                </a:xfrm>
                <a:prstGeom prst="rect">
                  <a:avLst/>
                </a:prstGeom>
                <a:solidFill>
                  <a:srgbClr val="CAEAF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10" name="Rectangle 487"/>
                <xdr:cNvSpPr>
                  <a:spLocks noChangeArrowheads="1"/>
                </xdr:cNvSpPr>
              </xdr:nvSpPr>
              <xdr:spPr bwMode="auto">
                <a:xfrm>
                  <a:off x="2294" y="851"/>
                  <a:ext cx="61" cy="12"/>
                </a:xfrm>
                <a:prstGeom prst="rect">
                  <a:avLst/>
                </a:prstGeom>
                <a:solidFill>
                  <a:srgbClr val="C6E6F8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11" name="Rectangle 488"/>
                <xdr:cNvSpPr>
                  <a:spLocks noChangeArrowheads="1"/>
                </xdr:cNvSpPr>
              </xdr:nvSpPr>
              <xdr:spPr bwMode="auto">
                <a:xfrm>
                  <a:off x="2294" y="863"/>
                  <a:ext cx="61" cy="24"/>
                </a:xfrm>
                <a:prstGeom prst="rect">
                  <a:avLst/>
                </a:prstGeom>
                <a:solidFill>
                  <a:srgbClr val="BFDDEF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12" name="Rectangle 489"/>
                <xdr:cNvSpPr>
                  <a:spLocks noChangeArrowheads="1"/>
                </xdr:cNvSpPr>
              </xdr:nvSpPr>
              <xdr:spPr bwMode="auto">
                <a:xfrm>
                  <a:off x="2294" y="887"/>
                  <a:ext cx="61" cy="25"/>
                </a:xfrm>
                <a:prstGeom prst="rect">
                  <a:avLst/>
                </a:prstGeom>
                <a:solidFill>
                  <a:srgbClr val="B1CDD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13" name="Rectangle 490"/>
                <xdr:cNvSpPr>
                  <a:spLocks noChangeArrowheads="1"/>
                </xdr:cNvSpPr>
              </xdr:nvSpPr>
              <xdr:spPr bwMode="auto">
                <a:xfrm>
                  <a:off x="2294" y="912"/>
                  <a:ext cx="61" cy="24"/>
                </a:xfrm>
                <a:prstGeom prst="rect">
                  <a:avLst/>
                </a:prstGeom>
                <a:solidFill>
                  <a:srgbClr val="9EB7C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14" name="Rectangle 491"/>
                <xdr:cNvSpPr>
                  <a:spLocks noChangeArrowheads="1"/>
                </xdr:cNvSpPr>
              </xdr:nvSpPr>
              <xdr:spPr bwMode="auto">
                <a:xfrm>
                  <a:off x="2294" y="936"/>
                  <a:ext cx="61" cy="12"/>
                </a:xfrm>
                <a:prstGeom prst="rect">
                  <a:avLst/>
                </a:prstGeom>
                <a:solidFill>
                  <a:srgbClr val="90A7B5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15" name="Rectangle 492"/>
                <xdr:cNvSpPr>
                  <a:spLocks noChangeArrowheads="1"/>
                </xdr:cNvSpPr>
              </xdr:nvSpPr>
              <xdr:spPr bwMode="auto">
                <a:xfrm>
                  <a:off x="2294" y="948"/>
                  <a:ext cx="61" cy="24"/>
                </a:xfrm>
                <a:prstGeom prst="rect">
                  <a:avLst/>
                </a:prstGeom>
                <a:solidFill>
                  <a:srgbClr val="859AA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16" name="Rectangle 493"/>
                <xdr:cNvSpPr>
                  <a:spLocks noChangeArrowheads="1"/>
                </xdr:cNvSpPr>
              </xdr:nvSpPr>
              <xdr:spPr bwMode="auto">
                <a:xfrm>
                  <a:off x="2294" y="972"/>
                  <a:ext cx="61" cy="24"/>
                </a:xfrm>
                <a:prstGeom prst="rect">
                  <a:avLst/>
                </a:prstGeom>
                <a:solidFill>
                  <a:srgbClr val="7C909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300" name="Rectangle 494"/>
              <xdr:cNvSpPr>
                <a:spLocks noChangeArrowheads="1"/>
              </xdr:cNvSpPr>
            </xdr:nvSpPr>
            <xdr:spPr bwMode="auto">
              <a:xfrm>
                <a:off x="2294" y="658"/>
                <a:ext cx="61" cy="338"/>
              </a:xfrm>
              <a:prstGeom prst="rect">
                <a:avLst/>
              </a:prstGeom>
              <a:noFill/>
              <a:ln w="19050">
                <a:solidFill>
                  <a:srgbClr val="919191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</xdr:grpSp>
        <xdr:grpSp>
          <xdr:nvGrpSpPr>
            <xdr:cNvPr id="280" name="Group 495"/>
            <xdr:cNvGrpSpPr>
              <a:grpSpLocks/>
            </xdr:cNvGrpSpPr>
          </xdr:nvGrpSpPr>
          <xdr:grpSpPr bwMode="auto">
            <a:xfrm>
              <a:off x="6953250" y="6410325"/>
              <a:ext cx="76200" cy="771525"/>
              <a:chOff x="2294" y="658"/>
              <a:chExt cx="61" cy="338"/>
            </a:xfrm>
          </xdr:grpSpPr>
          <xdr:grpSp>
            <xdr:nvGrpSpPr>
              <xdr:cNvPr id="281" name="Group 496"/>
              <xdr:cNvGrpSpPr>
                <a:grpSpLocks/>
              </xdr:cNvGrpSpPr>
            </xdr:nvGrpSpPr>
            <xdr:grpSpPr bwMode="auto">
              <a:xfrm>
                <a:off x="2294" y="658"/>
                <a:ext cx="61" cy="338"/>
                <a:chOff x="2294" y="658"/>
                <a:chExt cx="61" cy="338"/>
              </a:xfrm>
            </xdr:grpSpPr>
            <xdr:sp macro="" textlink="">
              <xdr:nvSpPr>
                <xdr:cNvPr id="283" name="Rectangle 497"/>
                <xdr:cNvSpPr>
                  <a:spLocks noChangeArrowheads="1"/>
                </xdr:cNvSpPr>
              </xdr:nvSpPr>
              <xdr:spPr bwMode="auto">
                <a:xfrm>
                  <a:off x="2294" y="658"/>
                  <a:ext cx="61" cy="24"/>
                </a:xfrm>
                <a:prstGeom prst="rect">
                  <a:avLst/>
                </a:prstGeom>
                <a:solidFill>
                  <a:srgbClr val="7C909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84" name="Rectangle 498"/>
                <xdr:cNvSpPr>
                  <a:spLocks noChangeArrowheads="1"/>
                </xdr:cNvSpPr>
              </xdr:nvSpPr>
              <xdr:spPr bwMode="auto">
                <a:xfrm>
                  <a:off x="2294" y="682"/>
                  <a:ext cx="61" cy="12"/>
                </a:xfrm>
                <a:prstGeom prst="rect">
                  <a:avLst/>
                </a:prstGeom>
                <a:solidFill>
                  <a:srgbClr val="8297A3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85" name="Rectangle 499"/>
                <xdr:cNvSpPr>
                  <a:spLocks noChangeArrowheads="1"/>
                </xdr:cNvSpPr>
              </xdr:nvSpPr>
              <xdr:spPr bwMode="auto">
                <a:xfrm>
                  <a:off x="2294" y="694"/>
                  <a:ext cx="61" cy="24"/>
                </a:xfrm>
                <a:prstGeom prst="rect">
                  <a:avLst/>
                </a:prstGeom>
                <a:solidFill>
                  <a:srgbClr val="8CA3B0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86" name="Rectangle 500"/>
                <xdr:cNvSpPr>
                  <a:spLocks noChangeArrowheads="1"/>
                </xdr:cNvSpPr>
              </xdr:nvSpPr>
              <xdr:spPr bwMode="auto">
                <a:xfrm>
                  <a:off x="2294" y="718"/>
                  <a:ext cx="61" cy="24"/>
                </a:xfrm>
                <a:prstGeom prst="rect">
                  <a:avLst/>
                </a:prstGeom>
                <a:solidFill>
                  <a:srgbClr val="9EB7C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87" name="Rectangle 501"/>
                <xdr:cNvSpPr>
                  <a:spLocks noChangeArrowheads="1"/>
                </xdr:cNvSpPr>
              </xdr:nvSpPr>
              <xdr:spPr bwMode="auto">
                <a:xfrm>
                  <a:off x="2294" y="742"/>
                  <a:ext cx="61" cy="24"/>
                </a:xfrm>
                <a:prstGeom prst="rect">
                  <a:avLst/>
                </a:prstGeom>
                <a:solidFill>
                  <a:srgbClr val="B1CDD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88" name="Rectangle 502"/>
                <xdr:cNvSpPr>
                  <a:spLocks noChangeArrowheads="1"/>
                </xdr:cNvSpPr>
              </xdr:nvSpPr>
              <xdr:spPr bwMode="auto">
                <a:xfrm>
                  <a:off x="2294" y="766"/>
                  <a:ext cx="61" cy="13"/>
                </a:xfrm>
                <a:prstGeom prst="rect">
                  <a:avLst/>
                </a:prstGeom>
                <a:solidFill>
                  <a:srgbClr val="BCDAE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89" name="Rectangle 503"/>
                <xdr:cNvSpPr>
                  <a:spLocks noChangeArrowheads="1"/>
                </xdr:cNvSpPr>
              </xdr:nvSpPr>
              <xdr:spPr bwMode="auto">
                <a:xfrm>
                  <a:off x="2294" y="779"/>
                  <a:ext cx="61" cy="24"/>
                </a:xfrm>
                <a:prstGeom prst="rect">
                  <a:avLst/>
                </a:prstGeom>
                <a:solidFill>
                  <a:srgbClr val="C4E3F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90" name="Rectangle 504"/>
                <xdr:cNvSpPr>
                  <a:spLocks noChangeArrowheads="1"/>
                </xdr:cNvSpPr>
              </xdr:nvSpPr>
              <xdr:spPr bwMode="auto">
                <a:xfrm>
                  <a:off x="2294" y="803"/>
                  <a:ext cx="61" cy="24"/>
                </a:xfrm>
                <a:prstGeom prst="rect">
                  <a:avLst/>
                </a:prstGeom>
                <a:solidFill>
                  <a:srgbClr val="CAEAF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91" name="Rectangle 505"/>
                <xdr:cNvSpPr>
                  <a:spLocks noChangeArrowheads="1"/>
                </xdr:cNvSpPr>
              </xdr:nvSpPr>
              <xdr:spPr bwMode="auto">
                <a:xfrm>
                  <a:off x="2294" y="827"/>
                  <a:ext cx="61" cy="24"/>
                </a:xfrm>
                <a:prstGeom prst="rect">
                  <a:avLst/>
                </a:prstGeom>
                <a:solidFill>
                  <a:srgbClr val="CAEAF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92" name="Rectangle 506"/>
                <xdr:cNvSpPr>
                  <a:spLocks noChangeArrowheads="1"/>
                </xdr:cNvSpPr>
              </xdr:nvSpPr>
              <xdr:spPr bwMode="auto">
                <a:xfrm>
                  <a:off x="2294" y="851"/>
                  <a:ext cx="61" cy="12"/>
                </a:xfrm>
                <a:prstGeom prst="rect">
                  <a:avLst/>
                </a:prstGeom>
                <a:solidFill>
                  <a:srgbClr val="C6E6F8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93" name="Rectangle 507"/>
                <xdr:cNvSpPr>
                  <a:spLocks noChangeArrowheads="1"/>
                </xdr:cNvSpPr>
              </xdr:nvSpPr>
              <xdr:spPr bwMode="auto">
                <a:xfrm>
                  <a:off x="2294" y="863"/>
                  <a:ext cx="61" cy="24"/>
                </a:xfrm>
                <a:prstGeom prst="rect">
                  <a:avLst/>
                </a:prstGeom>
                <a:solidFill>
                  <a:srgbClr val="BFDDEF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94" name="Rectangle 508"/>
                <xdr:cNvSpPr>
                  <a:spLocks noChangeArrowheads="1"/>
                </xdr:cNvSpPr>
              </xdr:nvSpPr>
              <xdr:spPr bwMode="auto">
                <a:xfrm>
                  <a:off x="2294" y="887"/>
                  <a:ext cx="61" cy="25"/>
                </a:xfrm>
                <a:prstGeom prst="rect">
                  <a:avLst/>
                </a:prstGeom>
                <a:solidFill>
                  <a:srgbClr val="B1CDDD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95" name="Rectangle 509"/>
                <xdr:cNvSpPr>
                  <a:spLocks noChangeArrowheads="1"/>
                </xdr:cNvSpPr>
              </xdr:nvSpPr>
              <xdr:spPr bwMode="auto">
                <a:xfrm>
                  <a:off x="2294" y="912"/>
                  <a:ext cx="61" cy="24"/>
                </a:xfrm>
                <a:prstGeom prst="rect">
                  <a:avLst/>
                </a:prstGeom>
                <a:solidFill>
                  <a:srgbClr val="9EB7C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96" name="Rectangle 510"/>
                <xdr:cNvSpPr>
                  <a:spLocks noChangeArrowheads="1"/>
                </xdr:cNvSpPr>
              </xdr:nvSpPr>
              <xdr:spPr bwMode="auto">
                <a:xfrm>
                  <a:off x="2294" y="936"/>
                  <a:ext cx="61" cy="12"/>
                </a:xfrm>
                <a:prstGeom prst="rect">
                  <a:avLst/>
                </a:prstGeom>
                <a:solidFill>
                  <a:srgbClr val="90A7B5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97" name="Rectangle 511"/>
                <xdr:cNvSpPr>
                  <a:spLocks noChangeArrowheads="1"/>
                </xdr:cNvSpPr>
              </xdr:nvSpPr>
              <xdr:spPr bwMode="auto">
                <a:xfrm>
                  <a:off x="2294" y="948"/>
                  <a:ext cx="61" cy="24"/>
                </a:xfrm>
                <a:prstGeom prst="rect">
                  <a:avLst/>
                </a:prstGeom>
                <a:solidFill>
                  <a:srgbClr val="859AA6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98" name="Rectangle 512"/>
                <xdr:cNvSpPr>
                  <a:spLocks noChangeArrowheads="1"/>
                </xdr:cNvSpPr>
              </xdr:nvSpPr>
              <xdr:spPr bwMode="auto">
                <a:xfrm>
                  <a:off x="2294" y="972"/>
                  <a:ext cx="61" cy="24"/>
                </a:xfrm>
                <a:prstGeom prst="rect">
                  <a:avLst/>
                </a:prstGeom>
                <a:solidFill>
                  <a:srgbClr val="7C909B"/>
                </a:solidFill>
                <a:ln>
                  <a:noFill/>
                </a:ln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0000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282" name="Rectangle 513"/>
              <xdr:cNvSpPr>
                <a:spLocks noChangeArrowheads="1"/>
              </xdr:cNvSpPr>
            </xdr:nvSpPr>
            <xdr:spPr bwMode="auto">
              <a:xfrm>
                <a:off x="2294" y="658"/>
                <a:ext cx="61" cy="338"/>
              </a:xfrm>
              <a:prstGeom prst="rect">
                <a:avLst/>
              </a:prstGeom>
              <a:noFill/>
              <a:ln w="19050">
                <a:solidFill>
                  <a:srgbClr val="919191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</xdr:grpSp>
      </xdr:grpSp>
      <xdr:pic>
        <xdr:nvPicPr>
          <xdr:cNvPr id="226" name="Picture 23" descr="D:\bbrock\My Documents\Stuff\Icons\Industry\Twr Fan Stack Grey.jpg"/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9195280" y="2084037"/>
            <a:ext cx="1373867" cy="5548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27" name="Rectangle 226"/>
          <xdr:cNvSpPr>
            <a:spLocks noChangeArrowheads="1"/>
          </xdr:cNvSpPr>
        </xdr:nvSpPr>
        <xdr:spPr bwMode="auto">
          <a:xfrm>
            <a:off x="8745464" y="4327329"/>
            <a:ext cx="2243566" cy="538667"/>
          </a:xfrm>
          <a:prstGeom prst="rect">
            <a:avLst/>
          </a:prstGeom>
          <a:solidFill>
            <a:srgbClr val="047DC8">
              <a:alpha val="14000"/>
            </a:srgbClr>
          </a:solidFill>
          <a:ln w="19050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endParaRPr lang="en-US" sz="9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en-US" sz="900"/>
          </a:p>
        </xdr:txBody>
      </xdr:sp>
      <xdr:grpSp>
        <xdr:nvGrpSpPr>
          <xdr:cNvPr id="228" name="Group 227"/>
          <xdr:cNvGrpSpPr/>
        </xdr:nvGrpSpPr>
        <xdr:grpSpPr>
          <a:xfrm>
            <a:off x="7773309" y="4185536"/>
            <a:ext cx="1122602" cy="373659"/>
            <a:chOff x="374520" y="6858870"/>
            <a:chExt cx="1143000" cy="301336"/>
          </a:xfrm>
        </xdr:grpSpPr>
        <xdr:sp macro="" textlink="">
          <xdr:nvSpPr>
            <xdr:cNvPr id="271" name="Line 39"/>
            <xdr:cNvSpPr>
              <a:spLocks noChangeShapeType="1"/>
            </xdr:cNvSpPr>
          </xdr:nvSpPr>
          <xdr:spPr bwMode="auto">
            <a:xfrm rot="10800000" flipV="1">
              <a:off x="374520" y="7086070"/>
              <a:ext cx="1143000" cy="0"/>
            </a:xfrm>
            <a:prstGeom prst="line">
              <a:avLst/>
            </a:prstGeom>
            <a:noFill/>
            <a:ln w="15875">
              <a:solidFill>
                <a:srgbClr val="376AFB"/>
              </a:solidFill>
              <a:round/>
              <a:headEnd type="stealth" w="med" len="med"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grpSp>
          <xdr:nvGrpSpPr>
            <xdr:cNvPr id="272" name="Group 271"/>
            <xdr:cNvGrpSpPr/>
          </xdr:nvGrpSpPr>
          <xdr:grpSpPr>
            <a:xfrm>
              <a:off x="666105" y="6858870"/>
              <a:ext cx="276630" cy="301336"/>
              <a:chOff x="666105" y="6858870"/>
              <a:chExt cx="276630" cy="301336"/>
            </a:xfrm>
          </xdr:grpSpPr>
          <xdr:sp macro="" textlink="">
            <xdr:nvSpPr>
              <xdr:cNvPr id="273" name="AutoShape 40"/>
              <xdr:cNvSpPr>
                <a:spLocks noChangeArrowheads="1"/>
              </xdr:cNvSpPr>
            </xdr:nvSpPr>
            <xdr:spPr bwMode="auto">
              <a:xfrm rot="16200000">
                <a:off x="722591" y="6940063"/>
                <a:ext cx="163657" cy="276630"/>
              </a:xfrm>
              <a:prstGeom prst="flowChartCollate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74" name="Rectangle 273"/>
              <xdr:cNvSpPr>
                <a:spLocks noChangeArrowheads="1"/>
              </xdr:cNvSpPr>
            </xdr:nvSpPr>
            <xdr:spPr bwMode="auto">
              <a:xfrm>
                <a:off x="740656" y="6858870"/>
                <a:ext cx="109728" cy="109728"/>
              </a:xfrm>
              <a:prstGeom prst="rect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22860" rIns="27432" bIns="0" anchor="t" upright="1"/>
              <a:lstStyle/>
              <a:p>
                <a:pPr algn="ctr" rtl="0">
                  <a:defRPr sz="1000"/>
                </a:pPr>
                <a:endParaRPr lang="en-US" sz="900"/>
              </a:p>
            </xdr:txBody>
          </xdr:sp>
          <xdr:sp macro="" textlink="">
            <xdr:nvSpPr>
              <xdr:cNvPr id="275" name="Line 42"/>
              <xdr:cNvSpPr>
                <a:spLocks noChangeShapeType="1"/>
              </xdr:cNvSpPr>
            </xdr:nvSpPr>
            <xdr:spPr bwMode="auto">
              <a:xfrm flipH="1" flipV="1">
                <a:off x="794880" y="6972483"/>
                <a:ext cx="0" cy="105896"/>
              </a:xfrm>
              <a:prstGeom prst="line">
                <a:avLst/>
              </a:prstGeom>
              <a:noFill/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229" name="Line 33"/>
          <xdr:cNvSpPr>
            <a:spLocks noChangeShapeType="1"/>
          </xdr:cNvSpPr>
        </xdr:nvSpPr>
        <xdr:spPr bwMode="auto">
          <a:xfrm>
            <a:off x="13668665" y="3135577"/>
            <a:ext cx="450574" cy="0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" name="TextBox 229"/>
          <xdr:cNvSpPr txBox="1"/>
        </xdr:nvSpPr>
        <xdr:spPr>
          <a:xfrm>
            <a:off x="9244710" y="1135500"/>
            <a:ext cx="1601876" cy="7281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900"/>
              <a:t>Evaporation</a:t>
            </a:r>
            <a:r>
              <a:rPr lang="en-US" sz="900" baseline="0"/>
              <a:t> </a:t>
            </a:r>
          </a:p>
        </xdr:txBody>
      </xdr:sp>
      <xdr:sp macro="" textlink="">
        <xdr:nvSpPr>
          <xdr:cNvPr id="231" name="TextBox 230"/>
          <xdr:cNvSpPr txBox="1"/>
        </xdr:nvSpPr>
        <xdr:spPr>
          <a:xfrm>
            <a:off x="9317423" y="5488386"/>
            <a:ext cx="1423889" cy="453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900" baseline="0"/>
              <a:t>Circulation </a:t>
            </a:r>
          </a:p>
        </xdr:txBody>
      </xdr:sp>
      <xdr:sp macro="" textlink="">
        <xdr:nvSpPr>
          <xdr:cNvPr id="232" name="TextBox 231"/>
          <xdr:cNvSpPr txBox="1"/>
        </xdr:nvSpPr>
        <xdr:spPr>
          <a:xfrm>
            <a:off x="7561242" y="4343689"/>
            <a:ext cx="1245903" cy="7281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900" baseline="0"/>
              <a:t>Makeup </a:t>
            </a:r>
          </a:p>
        </xdr:txBody>
      </xdr:sp>
      <xdr:sp macro="" textlink="">
        <xdr:nvSpPr>
          <xdr:cNvPr id="233" name="TextBox 232"/>
          <xdr:cNvSpPr txBox="1"/>
        </xdr:nvSpPr>
        <xdr:spPr>
          <a:xfrm>
            <a:off x="7469019" y="1456555"/>
            <a:ext cx="889931" cy="2997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aseline="0"/>
              <a:t>Drift </a:t>
            </a:r>
          </a:p>
        </xdr:txBody>
      </xdr:sp>
      <xdr:sp macro="" textlink="">
        <xdr:nvSpPr>
          <xdr:cNvPr id="234" name="TextBox 233"/>
          <xdr:cNvSpPr txBox="1"/>
        </xdr:nvSpPr>
        <xdr:spPr>
          <a:xfrm>
            <a:off x="8105172" y="5358525"/>
            <a:ext cx="1245903" cy="453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900" baseline="0"/>
              <a:t>Leakage  </a:t>
            </a:r>
          </a:p>
        </xdr:txBody>
      </xdr:sp>
      <xdr:sp macro="" textlink="">
        <xdr:nvSpPr>
          <xdr:cNvPr id="235" name="TextBox 234"/>
          <xdr:cNvSpPr txBox="1"/>
        </xdr:nvSpPr>
        <xdr:spPr>
          <a:xfrm>
            <a:off x="13302859" y="3706791"/>
            <a:ext cx="1755813" cy="453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900" baseline="0"/>
              <a:t>Blow Down  </a:t>
            </a:r>
          </a:p>
        </xdr:txBody>
      </xdr:sp>
      <xdr:sp macro="" textlink="">
        <xdr:nvSpPr>
          <xdr:cNvPr id="236" name="Rectangle 235"/>
          <xdr:cNvSpPr>
            <a:spLocks noChangeArrowheads="1"/>
          </xdr:cNvSpPr>
        </xdr:nvSpPr>
        <xdr:spPr bwMode="auto">
          <a:xfrm>
            <a:off x="8749817" y="4248536"/>
            <a:ext cx="2229021" cy="633265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endParaRPr lang="en-US" sz="9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en-US" sz="900"/>
          </a:p>
        </xdr:txBody>
      </xdr:sp>
      <xdr:grpSp>
        <xdr:nvGrpSpPr>
          <xdr:cNvPr id="237" name="Group 236"/>
          <xdr:cNvGrpSpPr/>
        </xdr:nvGrpSpPr>
        <xdr:grpSpPr>
          <a:xfrm>
            <a:off x="8175282" y="1650935"/>
            <a:ext cx="1106083" cy="183645"/>
            <a:chOff x="8874333" y="4747390"/>
            <a:chExt cx="1016283" cy="146397"/>
          </a:xfrm>
        </xdr:grpSpPr>
        <xdr:sp macro="" textlink="">
          <xdr:nvSpPr>
            <xdr:cNvPr id="260" name="Arc 259"/>
            <xdr:cNvSpPr/>
          </xdr:nvSpPr>
          <xdr:spPr>
            <a:xfrm rot="10800000">
              <a:off x="8986458" y="4747390"/>
              <a:ext cx="89858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261" name="Arc 260"/>
            <xdr:cNvSpPr/>
          </xdr:nvSpPr>
          <xdr:spPr>
            <a:xfrm>
              <a:off x="9076578" y="4756627"/>
              <a:ext cx="89145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262" name="Arc 261"/>
            <xdr:cNvSpPr/>
          </xdr:nvSpPr>
          <xdr:spPr>
            <a:xfrm>
              <a:off x="9250832" y="4754895"/>
              <a:ext cx="89858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263" name="Arc 262"/>
            <xdr:cNvSpPr/>
          </xdr:nvSpPr>
          <xdr:spPr>
            <a:xfrm>
              <a:off x="9433435" y="4754317"/>
              <a:ext cx="89858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264" name="Arc 263"/>
            <xdr:cNvSpPr/>
          </xdr:nvSpPr>
          <xdr:spPr>
            <a:xfrm>
              <a:off x="9619940" y="4753740"/>
              <a:ext cx="86308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265" name="Arc 264"/>
            <xdr:cNvSpPr/>
          </xdr:nvSpPr>
          <xdr:spPr>
            <a:xfrm>
              <a:off x="9797922" y="4752586"/>
              <a:ext cx="92694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266" name="Arc 265"/>
            <xdr:cNvSpPr/>
          </xdr:nvSpPr>
          <xdr:spPr>
            <a:xfrm rot="10800000">
              <a:off x="9163435" y="4753740"/>
              <a:ext cx="89858" cy="133696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267" name="Arc 266"/>
            <xdr:cNvSpPr/>
          </xdr:nvSpPr>
          <xdr:spPr>
            <a:xfrm rot="10800000">
              <a:off x="9341424" y="4751863"/>
              <a:ext cx="89858" cy="133696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268" name="Arc 267"/>
            <xdr:cNvSpPr/>
          </xdr:nvSpPr>
          <xdr:spPr>
            <a:xfrm rot="10800000">
              <a:off x="9524264" y="4753162"/>
              <a:ext cx="89858" cy="137160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sp macro="" textlink="">
          <xdr:nvSpPr>
            <xdr:cNvPr id="269" name="Arc 268"/>
            <xdr:cNvSpPr/>
          </xdr:nvSpPr>
          <xdr:spPr>
            <a:xfrm rot="10800000">
              <a:off x="9705265" y="4753162"/>
              <a:ext cx="89858" cy="132542"/>
            </a:xfrm>
            <a:prstGeom prst="arc">
              <a:avLst>
                <a:gd name="adj1" fmla="val 10609212"/>
                <a:gd name="adj2" fmla="val 0"/>
              </a:avLst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900"/>
            </a:p>
          </xdr:txBody>
        </xdr:sp>
        <xdr:cxnSp macro="">
          <xdr:nvCxnSpPr>
            <xdr:cNvPr id="270" name="Straight Connector 269"/>
            <xdr:cNvCxnSpPr/>
          </xdr:nvCxnSpPr>
          <xdr:spPr>
            <a:xfrm>
              <a:off x="8874333" y="4812892"/>
              <a:ext cx="107674" cy="0"/>
            </a:xfrm>
            <a:prstGeom prst="line">
              <a:avLst/>
            </a:prstGeom>
            <a:ln w="15875">
              <a:solidFill>
                <a:schemeClr val="tx1">
                  <a:lumMod val="50000"/>
                  <a:lumOff val="50000"/>
                </a:schemeClr>
              </a:solidFill>
              <a:headEnd type="stealth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38" name="Group 237"/>
          <xdr:cNvGrpSpPr/>
        </xdr:nvGrpSpPr>
        <xdr:grpSpPr>
          <a:xfrm flipH="1">
            <a:off x="8434218" y="2719136"/>
            <a:ext cx="403046" cy="1433811"/>
            <a:chOff x="2943225" y="5934074"/>
            <a:chExt cx="432435" cy="1158240"/>
          </a:xfrm>
        </xdr:grpSpPr>
        <xdr:cxnSp macro="">
          <xdr:nvCxnSpPr>
            <xdr:cNvPr id="252" name="Straight Connector 251"/>
            <xdr:cNvCxnSpPr/>
          </xdr:nvCxnSpPr>
          <xdr:spPr>
            <a:xfrm flipH="1">
              <a:off x="3238500" y="59340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3" name="Straight Connector 252"/>
            <xdr:cNvCxnSpPr/>
          </xdr:nvCxnSpPr>
          <xdr:spPr>
            <a:xfrm flipH="1">
              <a:off x="3190875" y="60864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4" name="Straight Connector 253"/>
            <xdr:cNvCxnSpPr/>
          </xdr:nvCxnSpPr>
          <xdr:spPr>
            <a:xfrm flipH="1">
              <a:off x="3152775" y="6229349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5" name="Straight Connector 254"/>
            <xdr:cNvCxnSpPr/>
          </xdr:nvCxnSpPr>
          <xdr:spPr>
            <a:xfrm flipH="1">
              <a:off x="3114675" y="63912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6" name="Straight Connector 255"/>
            <xdr:cNvCxnSpPr/>
          </xdr:nvCxnSpPr>
          <xdr:spPr>
            <a:xfrm flipH="1">
              <a:off x="3018940" y="6715124"/>
              <a:ext cx="137159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7" name="Straight Connector 256"/>
            <xdr:cNvCxnSpPr/>
          </xdr:nvCxnSpPr>
          <xdr:spPr>
            <a:xfrm flipH="1">
              <a:off x="2981325" y="6857999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8" name="Straight Connector 257"/>
            <xdr:cNvCxnSpPr/>
          </xdr:nvCxnSpPr>
          <xdr:spPr>
            <a:xfrm flipH="1">
              <a:off x="3067050" y="656272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9" name="Straight Connector 258"/>
            <xdr:cNvCxnSpPr/>
          </xdr:nvCxnSpPr>
          <xdr:spPr>
            <a:xfrm flipH="1">
              <a:off x="2943225" y="70008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39" name="Group 238"/>
          <xdr:cNvGrpSpPr/>
        </xdr:nvGrpSpPr>
        <xdr:grpSpPr>
          <a:xfrm>
            <a:off x="10901142" y="2743032"/>
            <a:ext cx="407305" cy="1433811"/>
            <a:chOff x="2943225" y="5934074"/>
            <a:chExt cx="432435" cy="1158240"/>
          </a:xfrm>
        </xdr:grpSpPr>
        <xdr:cxnSp macro="">
          <xdr:nvCxnSpPr>
            <xdr:cNvPr id="244" name="Straight Connector 243"/>
            <xdr:cNvCxnSpPr/>
          </xdr:nvCxnSpPr>
          <xdr:spPr>
            <a:xfrm flipH="1">
              <a:off x="3238500" y="59340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/>
            <xdr:cNvCxnSpPr/>
          </xdr:nvCxnSpPr>
          <xdr:spPr>
            <a:xfrm flipH="1">
              <a:off x="3190875" y="60864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" name="Straight Connector 245"/>
            <xdr:cNvCxnSpPr/>
          </xdr:nvCxnSpPr>
          <xdr:spPr>
            <a:xfrm flipH="1">
              <a:off x="3152775" y="6229349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7" name="Straight Connector 246"/>
            <xdr:cNvCxnSpPr/>
          </xdr:nvCxnSpPr>
          <xdr:spPr>
            <a:xfrm flipH="1">
              <a:off x="3114675" y="63912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8" name="Straight Connector 247"/>
            <xdr:cNvCxnSpPr/>
          </xdr:nvCxnSpPr>
          <xdr:spPr>
            <a:xfrm flipH="1">
              <a:off x="3018940" y="6715124"/>
              <a:ext cx="137159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9" name="Straight Connector 248"/>
            <xdr:cNvCxnSpPr/>
          </xdr:nvCxnSpPr>
          <xdr:spPr>
            <a:xfrm flipH="1">
              <a:off x="2981325" y="6857999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0" name="Straight Connector 249"/>
            <xdr:cNvCxnSpPr/>
          </xdr:nvCxnSpPr>
          <xdr:spPr>
            <a:xfrm flipH="1">
              <a:off x="3067050" y="656272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1" name="Straight Connector 250"/>
            <xdr:cNvCxnSpPr/>
          </xdr:nvCxnSpPr>
          <xdr:spPr>
            <a:xfrm flipH="1">
              <a:off x="2943225" y="7000874"/>
              <a:ext cx="137160" cy="91440"/>
            </a:xfrm>
            <a:prstGeom prst="line">
              <a:avLst/>
            </a:prstGeom>
            <a:ln w="19050"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40" name="Straight Arrow Connector 239"/>
          <xdr:cNvCxnSpPr/>
        </xdr:nvCxnSpPr>
        <xdr:spPr>
          <a:xfrm flipH="1">
            <a:off x="8793998" y="4783068"/>
            <a:ext cx="660864" cy="610651"/>
          </a:xfrm>
          <a:prstGeom prst="straightConnector1">
            <a:avLst/>
          </a:prstGeom>
          <a:ln w="25400" cap="rnd">
            <a:solidFill>
              <a:srgbClr val="0544F5"/>
            </a:solidFill>
            <a:prstDash val="sysDot"/>
            <a:tailEnd type="stealth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1" name="Line 6"/>
          <xdr:cNvSpPr>
            <a:spLocks noChangeShapeType="1"/>
          </xdr:cNvSpPr>
        </xdr:nvSpPr>
        <xdr:spPr bwMode="auto">
          <a:xfrm>
            <a:off x="8782769" y="2350546"/>
            <a:ext cx="0" cy="295876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 type="stealth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2" name="Line 33"/>
          <xdr:cNvSpPr>
            <a:spLocks noChangeShapeType="1"/>
          </xdr:cNvSpPr>
        </xdr:nvSpPr>
        <xdr:spPr bwMode="auto">
          <a:xfrm>
            <a:off x="8768049" y="2353704"/>
            <a:ext cx="640080" cy="0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3" name="Line 34"/>
          <xdr:cNvSpPr>
            <a:spLocks noChangeShapeType="1"/>
          </xdr:cNvSpPr>
        </xdr:nvSpPr>
        <xdr:spPr bwMode="auto">
          <a:xfrm flipV="1">
            <a:off x="10506886" y="2351120"/>
            <a:ext cx="3154680" cy="3803"/>
          </a:xfrm>
          <a:prstGeom prst="line">
            <a:avLst/>
          </a:prstGeom>
          <a:noFill/>
          <a:ln w="19050">
            <a:solidFill>
              <a:srgbClr val="E87706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26</xdr:col>
      <xdr:colOff>85725</xdr:colOff>
      <xdr:row>42</xdr:row>
      <xdr:rowOff>152400</xdr:rowOff>
    </xdr:from>
    <xdr:to>
      <xdr:col>27</xdr:col>
      <xdr:colOff>161925</xdr:colOff>
      <xdr:row>51</xdr:row>
      <xdr:rowOff>28575</xdr:rowOff>
    </xdr:to>
    <xdr:sp macro="" textlink="">
      <xdr:nvSpPr>
        <xdr:cNvPr id="5" name="TextBox 4"/>
        <xdr:cNvSpPr txBox="1"/>
      </xdr:nvSpPr>
      <xdr:spPr>
        <a:xfrm>
          <a:off x="9124950" y="7486650"/>
          <a:ext cx="190500" cy="152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27</xdr:col>
      <xdr:colOff>161926</xdr:colOff>
      <xdr:row>9</xdr:row>
      <xdr:rowOff>9525</xdr:rowOff>
    </xdr:to>
    <xdr:sp macro="" textlink="">
      <xdr:nvSpPr>
        <xdr:cNvPr id="370" name="TextBox 369"/>
        <xdr:cNvSpPr txBox="1"/>
      </xdr:nvSpPr>
      <xdr:spPr>
        <a:xfrm>
          <a:off x="314325" y="971550"/>
          <a:ext cx="9001126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US" sz="2800" b="1">
              <a:solidFill>
                <a:srgbClr val="007AC9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Water Savings by Increasing Tower Cycles</a:t>
          </a:r>
          <a:endParaRPr lang="en-US" sz="7200" b="1" cap="none" spc="150">
            <a:ln w="11430"/>
            <a:solidFill>
              <a:srgbClr val="007AC9"/>
            </a:solidFill>
            <a:effectLst>
              <a:outerShdw blurRad="25400" algn="tl" rotWithShape="0">
                <a:srgbClr val="000000">
                  <a:alpha val="43000"/>
                </a:srgbClr>
              </a:out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2</xdr:row>
      <xdr:rowOff>0</xdr:rowOff>
    </xdr:from>
    <xdr:to>
      <xdr:col>6</xdr:col>
      <xdr:colOff>439537</xdr:colOff>
      <xdr:row>4</xdr:row>
      <xdr:rowOff>64922</xdr:rowOff>
    </xdr:to>
    <xdr:pic>
      <xdr:nvPicPr>
        <xdr:cNvPr id="371" name="Picture 370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323850"/>
          <a:ext cx="2011162" cy="388772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65</xdr:row>
      <xdr:rowOff>47625</xdr:rowOff>
    </xdr:from>
    <xdr:to>
      <xdr:col>15</xdr:col>
      <xdr:colOff>38100</xdr:colOff>
      <xdr:row>82</xdr:row>
      <xdr:rowOff>123825</xdr:rowOff>
    </xdr:to>
    <xdr:cxnSp macro="">
      <xdr:nvCxnSpPr>
        <xdr:cNvPr id="3" name="Straight Connector 2"/>
        <xdr:cNvCxnSpPr/>
      </xdr:nvCxnSpPr>
      <xdr:spPr>
        <a:xfrm>
          <a:off x="4819650" y="11772900"/>
          <a:ext cx="0" cy="2828925"/>
        </a:xfrm>
        <a:prstGeom prst="line">
          <a:avLst/>
        </a:prstGeom>
        <a:ln>
          <a:solidFill>
            <a:schemeClr val="tx1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</xdr:colOff>
      <xdr:row>59</xdr:row>
      <xdr:rowOff>85725</xdr:rowOff>
    </xdr:from>
    <xdr:to>
      <xdr:col>5</xdr:col>
      <xdr:colOff>45721</xdr:colOff>
      <xdr:row>61</xdr:row>
      <xdr:rowOff>32385</xdr:rowOff>
    </xdr:to>
    <xdr:grpSp>
      <xdr:nvGrpSpPr>
        <xdr:cNvPr id="372" name="Group 371"/>
        <xdr:cNvGrpSpPr/>
      </xdr:nvGrpSpPr>
      <xdr:grpSpPr>
        <a:xfrm>
          <a:off x="619125" y="10515600"/>
          <a:ext cx="731521" cy="499110"/>
          <a:chOff x="2615531" y="2819399"/>
          <a:chExt cx="1038397" cy="499110"/>
        </a:xfrm>
      </xdr:grpSpPr>
      <xdr:sp macro="" textlink="">
        <xdr:nvSpPr>
          <xdr:cNvPr id="373" name="Round Same Side Corner Rectangle 372"/>
          <xdr:cNvSpPr/>
        </xdr:nvSpPr>
        <xdr:spPr bwMode="auto">
          <a:xfrm rot="5400000">
            <a:off x="2951850" y="2578334"/>
            <a:ext cx="365760" cy="1038397"/>
          </a:xfrm>
          <a:prstGeom prst="round2Same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grpSp>
        <xdr:nvGrpSpPr>
          <xdr:cNvPr id="374" name="Group 373"/>
          <xdr:cNvGrpSpPr>
            <a:grpSpLocks noChangeAspect="1"/>
          </xdr:cNvGrpSpPr>
        </xdr:nvGrpSpPr>
        <xdr:grpSpPr>
          <a:xfrm>
            <a:off x="2651025" y="2819399"/>
            <a:ext cx="977376" cy="499110"/>
            <a:chOff x="4940135" y="4610100"/>
            <a:chExt cx="1781667" cy="679722"/>
          </a:xfrm>
        </xdr:grpSpPr>
        <xdr:sp macro="" textlink="">
          <xdr:nvSpPr>
            <xdr:cNvPr id="375" name="TextBox 374"/>
            <xdr:cNvSpPr txBox="1"/>
          </xdr:nvSpPr>
          <xdr:spPr>
            <a:xfrm>
              <a:off x="4940135" y="4842147"/>
              <a:ext cx="473225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b">
              <a:noAutofit/>
            </a:bodyPr>
            <a:lstStyle/>
            <a:p>
              <a:pPr algn="ctr"/>
              <a:r>
                <a:rPr lang="en-US" sz="2800" b="1">
                  <a:solidFill>
                    <a:srgbClr val="007AC9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</a:t>
              </a:r>
            </a:p>
          </xdr:txBody>
        </xdr:sp>
        <xdr:sp macro="" textlink="">
          <xdr:nvSpPr>
            <xdr:cNvPr id="376" name="TextBox 375"/>
            <xdr:cNvSpPr txBox="1"/>
          </xdr:nvSpPr>
          <xdr:spPr>
            <a:xfrm>
              <a:off x="5378774" y="4610100"/>
              <a:ext cx="1343028" cy="5048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b">
              <a:noAutofit/>
            </a:bodyPr>
            <a:lstStyle/>
            <a:p>
              <a:pPr algn="ctr"/>
              <a:r>
                <a:rPr lang="en-US" sz="1600" b="1">
                  <a:solidFill>
                    <a:srgbClr val="ADAFAF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ROI</a:t>
              </a:r>
              <a:r>
                <a:rPr lang="en-US" sz="1100" b="1" baseline="86000">
                  <a:solidFill>
                    <a:srgbClr val="ADAFAF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SM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28575</xdr:rowOff>
        </xdr:from>
        <xdr:to>
          <xdr:col>24</xdr:col>
          <xdr:colOff>561975</xdr:colOff>
          <xdr:row>31</xdr:row>
          <xdr:rowOff>19050</xdr:rowOff>
        </xdr:to>
        <xdr:sp macro="" textlink="">
          <xdr:nvSpPr>
            <xdr:cNvPr id="2066" name="TextBox9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7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control" Target="../activeX/activeX5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4.xml"/><Relationship Id="rId19" Type="http://schemas.openxmlformats.org/officeDocument/2006/relationships/image" Target="../media/image20.emf"/><Relationship Id="rId4" Type="http://schemas.openxmlformats.org/officeDocument/2006/relationships/control" Target="../activeX/activeX1.xml"/><Relationship Id="rId9" Type="http://schemas.openxmlformats.org/officeDocument/2006/relationships/image" Target="../media/image15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  <pageSetUpPr fitToPage="1"/>
  </sheetPr>
  <dimension ref="A1:AC76"/>
  <sheetViews>
    <sheetView showGridLines="0" showRowColHeaders="0" zoomScaleNormal="100" workbookViewId="0">
      <selection activeCell="S23" sqref="S23"/>
    </sheetView>
  </sheetViews>
  <sheetFormatPr defaultColWidth="0" defaultRowHeight="0" customHeight="1" zeroHeight="1" x14ac:dyDescent="0.2"/>
  <cols>
    <col min="1" max="1" width="2.7109375" style="171" customWidth="1"/>
    <col min="2" max="2" width="10" style="111" customWidth="1"/>
    <col min="3" max="3" width="0.85546875" style="184" customWidth="1"/>
    <col min="4" max="4" width="17" style="184" customWidth="1"/>
    <col min="5" max="5" width="4.28515625" style="184" customWidth="1"/>
    <col min="6" max="6" width="3.28515625" style="184" customWidth="1"/>
    <col min="7" max="7" width="13.28515625" style="184" customWidth="1"/>
    <col min="8" max="8" width="0.85546875" style="184" customWidth="1"/>
    <col min="9" max="9" width="2.7109375" style="184" customWidth="1"/>
    <col min="10" max="10" width="0.85546875" style="184" customWidth="1"/>
    <col min="11" max="11" width="18.140625" style="184" customWidth="1"/>
    <col min="12" max="12" width="16" style="184" customWidth="1"/>
    <col min="13" max="13" width="1.42578125" style="184" customWidth="1"/>
    <col min="14" max="14" width="2.140625" style="184" customWidth="1"/>
    <col min="15" max="15" width="0.85546875" style="184" customWidth="1"/>
    <col min="16" max="16" width="2.7109375" style="184" customWidth="1"/>
    <col min="17" max="17" width="0.85546875" style="184" customWidth="1"/>
    <col min="18" max="18" width="12.42578125" style="184" customWidth="1"/>
    <col min="19" max="19" width="8.42578125" style="184" customWidth="1"/>
    <col min="20" max="20" width="16.28515625" style="184" customWidth="1"/>
    <col min="21" max="21" width="0.85546875" style="184" customWidth="1"/>
    <col min="22" max="22" width="2.7109375" style="184" customWidth="1"/>
    <col min="23" max="23" width="0.85546875" style="184" customWidth="1"/>
    <col min="24" max="24" width="9.5703125" style="184" customWidth="1"/>
    <col min="25" max="25" width="10.140625" style="184" customWidth="1"/>
    <col min="26" max="26" width="17.42578125" style="184" customWidth="1"/>
    <col min="27" max="27" width="0.85546875" style="184" customWidth="1"/>
    <col min="28" max="28" width="3.140625" style="111" customWidth="1"/>
    <col min="29" max="29" width="0" style="111" hidden="1" customWidth="1"/>
    <col min="30" max="16384" width="9.140625" style="111" hidden="1"/>
  </cols>
  <sheetData>
    <row r="1" spans="1:28" ht="12.75" x14ac:dyDescent="0.2"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</row>
    <row r="2" spans="1:28" ht="12.75" x14ac:dyDescent="0.2"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</row>
    <row r="3" spans="1:28" ht="12.75" x14ac:dyDescent="0.2"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</row>
    <row r="4" spans="1:28" ht="12.75" x14ac:dyDescent="0.2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</row>
    <row r="5" spans="1:28" ht="12.75" x14ac:dyDescent="0.2"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</row>
    <row r="6" spans="1:28" ht="12.75" x14ac:dyDescent="0.2"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</row>
    <row r="7" spans="1:28" ht="12.75" x14ac:dyDescent="0.2"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</row>
    <row r="8" spans="1:28" ht="12.75" x14ac:dyDescent="0.2"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</row>
    <row r="9" spans="1:28" ht="12.75" x14ac:dyDescent="0.2"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</row>
    <row r="10" spans="1:28" ht="12.75" customHeight="1" x14ac:dyDescent="0.2">
      <c r="B10" s="112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262"/>
      <c r="Z10" s="262"/>
      <c r="AA10" s="112"/>
      <c r="AB10" s="112"/>
    </row>
    <row r="11" spans="1:28" ht="25.5" customHeight="1" x14ac:dyDescent="0.2">
      <c r="B11" s="118"/>
      <c r="C11" s="113"/>
      <c r="D11" s="113"/>
      <c r="E11" s="173"/>
      <c r="F11" s="173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26"/>
      <c r="X11" s="126"/>
      <c r="Y11" s="126"/>
      <c r="Z11" s="126"/>
      <c r="AA11" s="126"/>
      <c r="AB11" s="126"/>
    </row>
    <row r="12" spans="1:28" s="231" customFormat="1" ht="36" customHeight="1" x14ac:dyDescent="0.5">
      <c r="A12" s="230"/>
      <c r="B12" s="193" t="s">
        <v>102</v>
      </c>
      <c r="C12" s="118"/>
      <c r="D12" s="118"/>
      <c r="E12" s="173"/>
      <c r="F12" s="173"/>
      <c r="G12" s="180" t="s">
        <v>99</v>
      </c>
      <c r="H12" s="180"/>
      <c r="I12" s="180"/>
      <c r="J12" s="180"/>
      <c r="K12" s="180"/>
      <c r="L12" s="180"/>
      <c r="M12" s="119"/>
      <c r="N12" s="182" t="s">
        <v>100</v>
      </c>
      <c r="O12" s="182"/>
      <c r="P12" s="182"/>
      <c r="Q12" s="182"/>
      <c r="R12" s="182"/>
      <c r="S12" s="182"/>
      <c r="T12" s="182"/>
      <c r="U12" s="119"/>
      <c r="V12" s="119"/>
      <c r="W12" s="183"/>
      <c r="X12" s="263" t="s">
        <v>24</v>
      </c>
      <c r="Y12" s="263"/>
      <c r="Z12" s="263"/>
      <c r="AA12" s="226"/>
      <c r="AB12" s="126"/>
    </row>
    <row r="13" spans="1:28" ht="30" customHeight="1" x14ac:dyDescent="0.5">
      <c r="B13" s="193" t="s">
        <v>103</v>
      </c>
      <c r="C13" s="120"/>
      <c r="D13" s="120"/>
      <c r="E13" s="173"/>
      <c r="F13" s="173"/>
      <c r="G13" s="185" t="s">
        <v>97</v>
      </c>
      <c r="H13" s="186"/>
      <c r="I13" s="187"/>
      <c r="J13" s="187"/>
      <c r="K13" s="187"/>
      <c r="L13" s="187"/>
      <c r="M13" s="181"/>
      <c r="N13" s="192" t="s">
        <v>98</v>
      </c>
      <c r="O13" s="111"/>
      <c r="P13" s="188"/>
      <c r="Q13" s="188"/>
      <c r="R13" s="188"/>
      <c r="S13" s="188"/>
      <c r="T13" s="188"/>
      <c r="U13" s="116"/>
      <c r="W13" s="271" t="s">
        <v>78</v>
      </c>
      <c r="X13" s="271"/>
      <c r="Y13" s="271"/>
      <c r="Z13" s="269" t="str">
        <f>"$"&amp;FIXED(SUM(D26,K26,Q26),0)</f>
        <v>$1,257</v>
      </c>
      <c r="AA13" s="269"/>
      <c r="AB13" s="126"/>
    </row>
    <row r="14" spans="1:28" ht="30" customHeight="1" x14ac:dyDescent="0.5">
      <c r="B14" s="193" t="s">
        <v>104</v>
      </c>
      <c r="C14" s="120"/>
      <c r="D14" s="120"/>
      <c r="E14" s="173"/>
      <c r="F14" s="173"/>
      <c r="G14" s="227"/>
      <c r="H14" s="188"/>
      <c r="I14" s="189"/>
      <c r="J14" s="189"/>
      <c r="K14" s="189"/>
      <c r="L14" s="189"/>
      <c r="M14" s="181"/>
      <c r="N14" s="229"/>
      <c r="O14" s="191"/>
      <c r="P14" s="191"/>
      <c r="Q14" s="191"/>
      <c r="R14" s="191"/>
      <c r="S14" s="191"/>
      <c r="T14" s="191"/>
      <c r="U14" s="116"/>
      <c r="V14" s="178"/>
      <c r="W14" s="271"/>
      <c r="X14" s="271"/>
      <c r="Y14" s="271"/>
      <c r="Z14" s="270"/>
      <c r="AA14" s="270"/>
      <c r="AB14" s="126"/>
    </row>
    <row r="15" spans="1:28" ht="24.95" customHeight="1" x14ac:dyDescent="0.2">
      <c r="B15" s="118"/>
      <c r="C15" s="120"/>
      <c r="D15" s="120"/>
      <c r="E15" s="173"/>
      <c r="F15" s="173"/>
      <c r="G15" s="228"/>
      <c r="H15" s="190"/>
      <c r="I15" s="191"/>
      <c r="J15" s="191"/>
      <c r="K15" s="191"/>
      <c r="L15" s="191"/>
      <c r="M15" s="181"/>
      <c r="N15" s="229"/>
      <c r="O15" s="191"/>
      <c r="P15" s="191"/>
      <c r="Q15" s="191"/>
      <c r="R15" s="191"/>
      <c r="S15" s="191"/>
      <c r="T15" s="191"/>
      <c r="U15" s="116"/>
      <c r="W15" s="265" t="s">
        <v>79</v>
      </c>
      <c r="X15" s="265"/>
      <c r="Y15" s="265"/>
      <c r="Z15" s="268" t="str">
        <f>" $"&amp;FIXED(TowerCycles!S59,0)</f>
        <v xml:space="preserve"> $4,500</v>
      </c>
      <c r="AA15" s="268"/>
      <c r="AB15" s="126"/>
    </row>
    <row r="16" spans="1:28" ht="15.75" customHeight="1" x14ac:dyDescent="0.2">
      <c r="B16" s="118"/>
      <c r="C16" s="120"/>
      <c r="D16" s="120"/>
      <c r="E16" s="173"/>
      <c r="F16" s="173"/>
      <c r="G16" s="272" t="s">
        <v>80</v>
      </c>
      <c r="H16" s="272"/>
      <c r="I16" s="273">
        <v>18000</v>
      </c>
      <c r="J16" s="273"/>
      <c r="K16" s="273"/>
      <c r="L16" s="111"/>
      <c r="M16" s="176"/>
      <c r="N16" s="177"/>
      <c r="O16" s="111"/>
      <c r="P16" s="274" t="s">
        <v>81</v>
      </c>
      <c r="Q16" s="274"/>
      <c r="R16" s="274"/>
      <c r="S16" s="273">
        <v>6540</v>
      </c>
      <c r="T16" s="273"/>
      <c r="U16" s="116"/>
      <c r="W16" s="264" t="s">
        <v>101</v>
      </c>
      <c r="X16" s="264"/>
      <c r="Y16" s="264"/>
      <c r="Z16" s="266">
        <f>ROUND(SUM(,D26,K26,Q26,TowerCycles!S59),0)</f>
        <v>5757</v>
      </c>
      <c r="AA16" s="266"/>
      <c r="AB16" s="126"/>
    </row>
    <row r="17" spans="2:28" ht="14.25" customHeight="1" x14ac:dyDescent="0.2">
      <c r="B17" s="118"/>
      <c r="C17" s="120"/>
      <c r="D17" s="120"/>
      <c r="E17" s="173"/>
      <c r="F17" s="173"/>
      <c r="G17" s="272"/>
      <c r="H17" s="272"/>
      <c r="I17" s="273"/>
      <c r="J17" s="273"/>
      <c r="K17" s="273"/>
      <c r="L17" s="174"/>
      <c r="M17" s="176"/>
      <c r="N17" s="177"/>
      <c r="O17" s="175"/>
      <c r="P17" s="274"/>
      <c r="Q17" s="274"/>
      <c r="R17" s="274"/>
      <c r="S17" s="273"/>
      <c r="T17" s="273"/>
      <c r="U17" s="116"/>
      <c r="V17" s="179"/>
      <c r="W17" s="264"/>
      <c r="X17" s="264"/>
      <c r="Y17" s="264"/>
      <c r="Z17" s="267"/>
      <c r="AA17" s="267"/>
      <c r="AB17" s="126"/>
    </row>
    <row r="18" spans="2:28" ht="18" customHeight="1" x14ac:dyDescent="0.2">
      <c r="B18" s="118"/>
      <c r="C18" s="120"/>
      <c r="D18" s="120"/>
      <c r="E18" s="121"/>
      <c r="F18" s="121"/>
      <c r="G18" s="172"/>
      <c r="H18" s="115"/>
      <c r="I18" s="115"/>
      <c r="J18" s="115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  <c r="AA18" s="117"/>
      <c r="AB18" s="126"/>
    </row>
    <row r="19" spans="2:28" ht="24" customHeight="1" x14ac:dyDescent="0.2">
      <c r="B19" s="118"/>
      <c r="C19" s="120"/>
      <c r="D19" s="120"/>
      <c r="E19" s="122"/>
      <c r="F19" s="123"/>
      <c r="G19" s="124"/>
      <c r="H19" s="114"/>
      <c r="I19" s="114"/>
      <c r="J19" s="114"/>
      <c r="K19" s="114"/>
      <c r="L19" s="113"/>
      <c r="M19" s="120"/>
      <c r="N19" s="125"/>
      <c r="O19" s="125"/>
      <c r="P19" s="125"/>
      <c r="Q19" s="125"/>
      <c r="R19" s="125"/>
      <c r="S19" s="125"/>
      <c r="T19" s="125"/>
      <c r="U19" s="125"/>
      <c r="V19" s="125"/>
      <c r="W19" s="126"/>
      <c r="X19" s="126"/>
      <c r="Y19" s="126"/>
      <c r="Z19" s="126"/>
      <c r="AA19" s="126"/>
      <c r="AB19" s="126"/>
    </row>
    <row r="20" spans="2:28" ht="12" customHeight="1" x14ac:dyDescent="0.25">
      <c r="B20" s="197"/>
      <c r="C20" s="127"/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97"/>
    </row>
    <row r="21" spans="2:28" s="171" customFormat="1" ht="13.5" customHeight="1" x14ac:dyDescent="0.25">
      <c r="B21" s="197"/>
      <c r="C21" s="199"/>
      <c r="D21" s="200"/>
      <c r="E21" s="128"/>
      <c r="F21" s="258"/>
      <c r="G21" s="260"/>
      <c r="H21" s="129"/>
      <c r="I21" s="197"/>
      <c r="J21" s="130"/>
      <c r="K21" s="128"/>
      <c r="L21" s="258"/>
      <c r="M21" s="260"/>
      <c r="N21" s="128"/>
      <c r="O21" s="200"/>
      <c r="P21" s="205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3"/>
      <c r="AB21" s="197"/>
    </row>
    <row r="22" spans="2:28" s="171" customFormat="1" ht="52.5" customHeight="1" x14ac:dyDescent="0.25">
      <c r="B22" s="197"/>
      <c r="C22" s="137"/>
      <c r="D22" s="177"/>
      <c r="E22" s="131"/>
      <c r="F22" s="259"/>
      <c r="G22" s="261"/>
      <c r="H22" s="132"/>
      <c r="I22" s="197"/>
      <c r="J22" s="133"/>
      <c r="K22" s="131"/>
      <c r="L22" s="259"/>
      <c r="M22" s="261"/>
      <c r="N22" s="131"/>
      <c r="O22" s="177"/>
      <c r="P22" s="205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3"/>
      <c r="AB22" s="197"/>
    </row>
    <row r="23" spans="2:28" s="232" customFormat="1" ht="19.5" customHeight="1" x14ac:dyDescent="0.25">
      <c r="B23" s="198"/>
      <c r="C23" s="134"/>
      <c r="D23" s="234" t="str">
        <f>TowerCycles!E14&amp;" GAL/YEAR"</f>
        <v>38,106 GAL/YEAR</v>
      </c>
      <c r="E23" s="234"/>
      <c r="F23" s="234"/>
      <c r="G23" s="234"/>
      <c r="H23" s="135"/>
      <c r="I23" s="202"/>
      <c r="J23" s="136"/>
      <c r="K23" s="235" t="str">
        <f>TowerCycles!K14&amp;" LBS/YEAR"</f>
        <v>38,106 LBS/YEAR</v>
      </c>
      <c r="L23" s="235"/>
      <c r="M23" s="235"/>
      <c r="N23" s="235"/>
      <c r="O23" s="194"/>
      <c r="P23" s="205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7"/>
      <c r="AB23" s="198"/>
    </row>
    <row r="24" spans="2:28" s="171" customFormat="1" ht="3.75" customHeight="1" x14ac:dyDescent="0.25">
      <c r="B24" s="197"/>
      <c r="C24" s="137"/>
      <c r="D24" s="195"/>
      <c r="E24" s="195"/>
      <c r="F24" s="195"/>
      <c r="G24" s="195"/>
      <c r="H24" s="138"/>
      <c r="I24" s="203"/>
      <c r="J24" s="137"/>
      <c r="K24" s="195"/>
      <c r="L24" s="195"/>
      <c r="M24" s="195"/>
      <c r="N24" s="195"/>
      <c r="O24" s="195"/>
      <c r="P24" s="205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3"/>
      <c r="AB24" s="197"/>
    </row>
    <row r="25" spans="2:28" s="171" customFormat="1" ht="46.5" customHeight="1" x14ac:dyDescent="0.25">
      <c r="B25" s="197"/>
      <c r="C25" s="137"/>
      <c r="D25" s="208"/>
      <c r="E25" s="240">
        <f>TowerCycles!F16</f>
        <v>6.25E-2</v>
      </c>
      <c r="F25" s="240"/>
      <c r="G25" s="240"/>
      <c r="H25" s="139"/>
      <c r="I25" s="204"/>
      <c r="J25" s="140"/>
      <c r="K25" s="240">
        <f>TowerCycles!L16</f>
        <v>0.24999999999999992</v>
      </c>
      <c r="L25" s="240"/>
      <c r="M25" s="240"/>
      <c r="N25" s="240"/>
      <c r="O25" s="196"/>
      <c r="P25" s="205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3"/>
      <c r="AB25" s="197"/>
    </row>
    <row r="26" spans="2:28" s="171" customFormat="1" ht="38.25" customHeight="1" x14ac:dyDescent="0.25">
      <c r="B26" s="197"/>
      <c r="C26" s="137"/>
      <c r="D26" s="236">
        <f>TowerCycles!E17</f>
        <v>457.27199999999993</v>
      </c>
      <c r="E26" s="238" t="s">
        <v>53</v>
      </c>
      <c r="F26" s="238"/>
      <c r="G26" s="238"/>
      <c r="H26" s="138"/>
      <c r="I26" s="203"/>
      <c r="J26" s="137"/>
      <c r="K26" s="236">
        <f>TowerCycles!K17</f>
        <v>800.2259999999992</v>
      </c>
      <c r="L26" s="238" t="s">
        <v>53</v>
      </c>
      <c r="M26" s="238"/>
      <c r="N26" s="238"/>
      <c r="O26" s="195"/>
      <c r="P26" s="205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3"/>
      <c r="AB26" s="197"/>
    </row>
    <row r="27" spans="2:28" s="171" customFormat="1" ht="12.75" customHeight="1" x14ac:dyDescent="0.25">
      <c r="B27" s="197"/>
      <c r="C27" s="141"/>
      <c r="D27" s="237"/>
      <c r="E27" s="239"/>
      <c r="F27" s="239"/>
      <c r="G27" s="239"/>
      <c r="H27" s="142"/>
      <c r="I27" s="203"/>
      <c r="J27" s="141"/>
      <c r="K27" s="237"/>
      <c r="L27" s="239"/>
      <c r="M27" s="239"/>
      <c r="N27" s="239"/>
      <c r="O27" s="201"/>
      <c r="P27" s="205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3"/>
      <c r="AB27" s="197"/>
    </row>
    <row r="28" spans="2:28" ht="21" customHeight="1" x14ac:dyDescent="0.2">
      <c r="B28" s="197"/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97"/>
    </row>
    <row r="29" spans="2:28" ht="15.75" customHeight="1" x14ac:dyDescent="0.25">
      <c r="B29" s="197"/>
      <c r="C29" s="177"/>
      <c r="D29" s="213" t="s">
        <v>82</v>
      </c>
      <c r="E29" s="214"/>
      <c r="F29" s="215" t="str">
        <f>NameCompany</f>
        <v>Customer Name</v>
      </c>
      <c r="G29" s="215"/>
      <c r="H29" s="215"/>
      <c r="I29" s="215"/>
      <c r="J29" s="215"/>
      <c r="K29" s="216" t="s">
        <v>107</v>
      </c>
      <c r="L29" s="215" t="str">
        <f>NameCity&amp;","&amp;NameState</f>
        <v>City,State</v>
      </c>
      <c r="M29" s="233"/>
      <c r="N29" s="233"/>
      <c r="O29" s="233"/>
      <c r="P29" s="233"/>
      <c r="Q29" s="186"/>
      <c r="R29" s="216" t="s">
        <v>56</v>
      </c>
      <c r="S29" s="217" t="str">
        <f>NameCopiesTo</f>
        <v>Mr Customer</v>
      </c>
      <c r="T29" s="217"/>
      <c r="U29" s="217"/>
      <c r="V29" s="210"/>
      <c r="W29" s="210"/>
      <c r="X29" s="197"/>
      <c r="Y29" s="197"/>
      <c r="Z29" s="197"/>
      <c r="AA29" s="197"/>
      <c r="AB29" s="197"/>
    </row>
    <row r="30" spans="2:28" ht="5.0999999999999996" customHeight="1" x14ac:dyDescent="0.2">
      <c r="B30" s="197"/>
      <c r="C30" s="177"/>
      <c r="D30" s="143"/>
      <c r="E30" s="177"/>
      <c r="F30" s="168"/>
      <c r="G30" s="168"/>
      <c r="H30" s="168"/>
      <c r="I30" s="168"/>
      <c r="J30" s="171"/>
      <c r="K30" s="209"/>
      <c r="L30" s="168"/>
      <c r="M30" s="168"/>
      <c r="N30" s="168"/>
      <c r="O30" s="168"/>
      <c r="P30" s="168"/>
      <c r="Q30" s="171"/>
      <c r="R30" s="209"/>
      <c r="S30" s="168"/>
      <c r="T30" s="168"/>
      <c r="U30" s="168"/>
      <c r="V30" s="211"/>
      <c r="W30" s="211"/>
      <c r="X30" s="197"/>
      <c r="Y30" s="197"/>
      <c r="Z30" s="197"/>
      <c r="AA30" s="197"/>
      <c r="AB30" s="197"/>
    </row>
    <row r="31" spans="2:28" ht="15.75" customHeight="1" x14ac:dyDescent="0.25">
      <c r="B31" s="197"/>
      <c r="C31" s="177"/>
      <c r="D31" s="213" t="s">
        <v>83</v>
      </c>
      <c r="E31" s="214"/>
      <c r="F31" s="215" t="str">
        <f>NameSoldTo</f>
        <v>1000000</v>
      </c>
      <c r="G31" s="233"/>
      <c r="H31" s="233"/>
      <c r="I31" s="233"/>
      <c r="J31" s="233"/>
      <c r="K31" s="216" t="s">
        <v>84</v>
      </c>
      <c r="L31" s="215" t="str">
        <f>NameShipTo</f>
        <v>1000000</v>
      </c>
      <c r="M31" s="233"/>
      <c r="N31" s="233"/>
      <c r="O31" s="233"/>
      <c r="P31" s="233"/>
      <c r="Q31" s="186"/>
      <c r="R31" s="218" t="s">
        <v>85</v>
      </c>
      <c r="S31" s="219" t="str">
        <f>NamePreparedBy</f>
        <v>Rep Name</v>
      </c>
      <c r="T31" s="219"/>
      <c r="U31" s="219"/>
      <c r="V31" s="212"/>
      <c r="W31" s="212"/>
      <c r="X31" s="197"/>
      <c r="Y31" s="197"/>
      <c r="Z31" s="197"/>
      <c r="AA31" s="197"/>
      <c r="AB31" s="197"/>
    </row>
    <row r="32" spans="2:28" ht="20.100000000000001" customHeight="1" x14ac:dyDescent="0.2">
      <c r="B32" s="197"/>
      <c r="C32" s="197"/>
      <c r="D32" s="197"/>
      <c r="E32" s="197"/>
      <c r="F32" s="197"/>
      <c r="G32" s="197"/>
      <c r="H32" s="197"/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</row>
    <row r="33" spans="2:28" ht="15" customHeight="1" x14ac:dyDescent="0.4">
      <c r="B33" s="184"/>
      <c r="C33" s="244"/>
      <c r="D33" s="244"/>
      <c r="E33" s="244"/>
      <c r="F33" s="244"/>
      <c r="G33" s="244"/>
      <c r="H33" s="244"/>
      <c r="I33" s="244"/>
      <c r="J33" s="244"/>
      <c r="K33" s="244"/>
      <c r="L33" s="244"/>
      <c r="M33" s="244"/>
      <c r="N33" s="244"/>
      <c r="O33" s="244"/>
      <c r="P33" s="244"/>
      <c r="Q33" s="244"/>
      <c r="R33" s="244"/>
      <c r="S33" s="244"/>
      <c r="T33" s="244"/>
      <c r="U33" s="244"/>
      <c r="V33" s="244"/>
      <c r="W33" s="244"/>
      <c r="X33" s="244"/>
      <c r="Y33" s="244"/>
      <c r="Z33" s="244"/>
      <c r="AA33" s="244"/>
      <c r="AB33" s="184"/>
    </row>
    <row r="34" spans="2:28" ht="15" customHeight="1" x14ac:dyDescent="0.2">
      <c r="B34" s="184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84"/>
    </row>
    <row r="35" spans="2:28" ht="9.9499999999999993" customHeight="1" x14ac:dyDescent="0.2">
      <c r="B35" s="184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245" t="s">
        <v>86</v>
      </c>
      <c r="O35" s="246"/>
      <c r="P35" s="246"/>
      <c r="Q35" s="246"/>
      <c r="R35" s="246"/>
      <c r="S35" s="246"/>
      <c r="T35" s="246"/>
      <c r="U35" s="246"/>
      <c r="V35" s="246"/>
      <c r="W35" s="246"/>
      <c r="X35" s="246"/>
      <c r="Y35" s="246"/>
      <c r="Z35" s="246"/>
      <c r="AA35" s="247"/>
      <c r="AB35" s="184"/>
    </row>
    <row r="36" spans="2:28" ht="9.9499999999999993" customHeight="1" x14ac:dyDescent="0.2">
      <c r="B36" s="184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248"/>
      <c r="O36" s="249"/>
      <c r="P36" s="249"/>
      <c r="Q36" s="249"/>
      <c r="R36" s="249"/>
      <c r="S36" s="249"/>
      <c r="T36" s="249"/>
      <c r="U36" s="249"/>
      <c r="V36" s="249"/>
      <c r="W36" s="249"/>
      <c r="X36" s="249"/>
      <c r="Y36" s="249"/>
      <c r="Z36" s="249"/>
      <c r="AA36" s="250"/>
      <c r="AB36" s="184"/>
    </row>
    <row r="37" spans="2:28" ht="15" customHeight="1" x14ac:dyDescent="0.2">
      <c r="B37" s="184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44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45"/>
      <c r="AB37" s="184"/>
    </row>
    <row r="38" spans="2:28" ht="15" customHeight="1" x14ac:dyDescent="0.2">
      <c r="B38" s="184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44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45"/>
      <c r="AB38" s="184"/>
    </row>
    <row r="39" spans="2:28" ht="15" customHeight="1" x14ac:dyDescent="0.2">
      <c r="B39" s="184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44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45"/>
      <c r="AB39" s="184"/>
    </row>
    <row r="40" spans="2:28" ht="15" customHeight="1" x14ac:dyDescent="0.2">
      <c r="B40" s="184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44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45"/>
      <c r="AB40" s="184"/>
    </row>
    <row r="41" spans="2:28" ht="15" customHeight="1" x14ac:dyDescent="0.2">
      <c r="B41" s="184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44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45"/>
      <c r="AB41" s="184"/>
    </row>
    <row r="42" spans="2:28" ht="15" customHeight="1" x14ac:dyDescent="0.2">
      <c r="B42" s="184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44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45"/>
      <c r="AB42" s="184"/>
    </row>
    <row r="43" spans="2:28" ht="15" customHeight="1" x14ac:dyDescent="0.2">
      <c r="B43" s="184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44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45"/>
      <c r="AB43" s="184"/>
    </row>
    <row r="44" spans="2:28" ht="15" customHeight="1" x14ac:dyDescent="0.2">
      <c r="B44" s="184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44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45"/>
      <c r="AB44" s="184"/>
    </row>
    <row r="45" spans="2:28" ht="15" customHeight="1" x14ac:dyDescent="0.2">
      <c r="B45" s="184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44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45"/>
      <c r="AB45" s="184"/>
    </row>
    <row r="46" spans="2:28" ht="15" customHeight="1" x14ac:dyDescent="0.2">
      <c r="B46" s="184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44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45"/>
      <c r="AB46" s="184"/>
    </row>
    <row r="47" spans="2:28" ht="15" customHeight="1" x14ac:dyDescent="0.2">
      <c r="B47" s="184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44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145"/>
      <c r="AB47" s="184"/>
    </row>
    <row r="48" spans="2:28" ht="15" customHeight="1" x14ac:dyDescent="0.2">
      <c r="B48" s="184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44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45"/>
      <c r="AB48" s="184"/>
    </row>
    <row r="49" spans="2:28" ht="15" customHeight="1" x14ac:dyDescent="0.2">
      <c r="B49" s="184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44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45"/>
      <c r="AB49" s="184"/>
    </row>
    <row r="50" spans="2:28" ht="15" customHeight="1" x14ac:dyDescent="0.2">
      <c r="B50" s="184"/>
      <c r="C50" s="111"/>
      <c r="D50" s="111"/>
      <c r="E50" s="111"/>
      <c r="F50" s="111"/>
      <c r="G50" s="146"/>
      <c r="H50" s="111"/>
      <c r="I50" s="111"/>
      <c r="J50" s="111"/>
      <c r="K50" s="111"/>
      <c r="L50" s="111"/>
      <c r="M50" s="111"/>
      <c r="N50" s="144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45"/>
      <c r="AB50" s="184"/>
    </row>
    <row r="51" spans="2:28" ht="15" customHeight="1" x14ac:dyDescent="0.2">
      <c r="B51" s="184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47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9"/>
      <c r="AB51" s="184"/>
    </row>
    <row r="52" spans="2:28" ht="15" customHeight="1" x14ac:dyDescent="0.2">
      <c r="B52" s="184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84"/>
    </row>
    <row r="53" spans="2:28" ht="9.9499999999999993" customHeight="1" x14ac:dyDescent="0.2">
      <c r="B53" s="184"/>
      <c r="C53" s="111"/>
      <c r="D53" s="111"/>
      <c r="E53" s="251"/>
      <c r="F53" s="251"/>
      <c r="G53" s="251"/>
      <c r="H53" s="251"/>
      <c r="I53" s="251"/>
      <c r="J53" s="251"/>
      <c r="K53" s="251"/>
      <c r="L53" s="251"/>
      <c r="M53" s="111"/>
      <c r="N53" s="245" t="s">
        <v>87</v>
      </c>
      <c r="O53" s="246"/>
      <c r="P53" s="246"/>
      <c r="Q53" s="246"/>
      <c r="R53" s="246"/>
      <c r="S53" s="246"/>
      <c r="T53" s="246"/>
      <c r="U53" s="246"/>
      <c r="V53" s="246"/>
      <c r="W53" s="246"/>
      <c r="X53" s="246"/>
      <c r="Y53" s="246"/>
      <c r="Z53" s="246"/>
      <c r="AA53" s="247"/>
      <c r="AB53" s="184"/>
    </row>
    <row r="54" spans="2:28" ht="9.9499999999999993" customHeight="1" x14ac:dyDescent="0.2">
      <c r="B54" s="184"/>
      <c r="C54" s="111"/>
      <c r="D54" s="111"/>
      <c r="E54" s="251"/>
      <c r="F54" s="251"/>
      <c r="G54" s="251"/>
      <c r="H54" s="251"/>
      <c r="I54" s="251"/>
      <c r="J54" s="251"/>
      <c r="K54" s="251"/>
      <c r="L54" s="251"/>
      <c r="M54" s="111"/>
      <c r="N54" s="248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50"/>
      <c r="AB54" s="184"/>
    </row>
    <row r="55" spans="2:28" ht="15" customHeight="1" x14ac:dyDescent="0.2">
      <c r="B55" s="184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44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45"/>
      <c r="AB55" s="184"/>
    </row>
    <row r="56" spans="2:28" ht="15" customHeight="1" x14ac:dyDescent="0.2">
      <c r="B56" s="184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44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45"/>
      <c r="AB56" s="184"/>
    </row>
    <row r="57" spans="2:28" ht="15" customHeight="1" x14ac:dyDescent="0.2">
      <c r="B57" s="184"/>
      <c r="C57" s="111"/>
      <c r="D57" s="111"/>
      <c r="E57" s="150"/>
      <c r="F57" s="151" t="s">
        <v>60</v>
      </c>
      <c r="G57" s="151"/>
      <c r="H57" s="151"/>
      <c r="I57" s="151"/>
      <c r="J57" s="151"/>
      <c r="K57" s="152"/>
      <c r="L57" s="154"/>
      <c r="M57" s="111"/>
      <c r="N57" s="144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145"/>
      <c r="AB57" s="184"/>
    </row>
    <row r="58" spans="2:28" ht="15" customHeight="1" x14ac:dyDescent="0.2">
      <c r="B58" s="184"/>
      <c r="C58" s="111"/>
      <c r="D58" s="223" t="s">
        <v>105</v>
      </c>
      <c r="E58" s="153"/>
      <c r="F58" s="154"/>
      <c r="G58" s="154"/>
      <c r="H58" s="154"/>
      <c r="I58" s="154"/>
      <c r="J58" s="154"/>
      <c r="K58" s="155"/>
      <c r="L58" s="154"/>
      <c r="M58" s="111"/>
      <c r="N58" s="144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45"/>
      <c r="AB58" s="184"/>
    </row>
    <row r="59" spans="2:28" ht="15" customHeight="1" x14ac:dyDescent="0.2">
      <c r="B59" s="184"/>
      <c r="C59" s="111"/>
      <c r="D59" s="111"/>
      <c r="E59" s="156"/>
      <c r="F59" s="157" t="s">
        <v>61</v>
      </c>
      <c r="G59" s="154"/>
      <c r="H59" s="154"/>
      <c r="I59" s="154"/>
      <c r="J59" s="154"/>
      <c r="K59" s="155"/>
      <c r="L59" s="154"/>
      <c r="M59" s="111"/>
      <c r="N59" s="144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45"/>
      <c r="AB59" s="184"/>
    </row>
    <row r="60" spans="2:28" ht="15" customHeight="1" x14ac:dyDescent="0.2">
      <c r="B60" s="184"/>
      <c r="C60" s="111"/>
      <c r="D60" s="111"/>
      <c r="E60" s="156"/>
      <c r="F60" s="154"/>
      <c r="G60" s="154"/>
      <c r="H60" s="154"/>
      <c r="I60" s="154"/>
      <c r="J60" s="154"/>
      <c r="K60" s="155"/>
      <c r="L60" s="154"/>
      <c r="M60" s="111"/>
      <c r="N60" s="144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45"/>
      <c r="AB60" s="184"/>
    </row>
    <row r="61" spans="2:28" ht="15" customHeight="1" x14ac:dyDescent="0.2">
      <c r="B61" s="184"/>
      <c r="C61" s="111"/>
      <c r="D61" s="111"/>
      <c r="E61" s="156"/>
      <c r="F61" s="158" t="s">
        <v>62</v>
      </c>
      <c r="G61" s="154"/>
      <c r="H61" s="154"/>
      <c r="I61" s="154"/>
      <c r="J61" s="154"/>
      <c r="K61" s="155"/>
      <c r="L61" s="154"/>
      <c r="M61" s="111"/>
      <c r="N61" s="144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45"/>
      <c r="AB61" s="184"/>
    </row>
    <row r="62" spans="2:28" ht="15" customHeight="1" x14ac:dyDescent="0.2">
      <c r="B62" s="184"/>
      <c r="C62" s="111"/>
      <c r="D62" s="111"/>
      <c r="E62" s="159"/>
      <c r="F62" s="160"/>
      <c r="G62" s="160"/>
      <c r="H62" s="160"/>
      <c r="I62" s="160"/>
      <c r="J62" s="160"/>
      <c r="K62" s="161"/>
      <c r="L62" s="154"/>
      <c r="M62" s="111"/>
      <c r="N62" s="144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45"/>
      <c r="AB62" s="184"/>
    </row>
    <row r="63" spans="2:28" ht="15" customHeight="1" x14ac:dyDescent="0.2">
      <c r="B63" s="184"/>
      <c r="C63" s="111"/>
      <c r="D63" s="111"/>
      <c r="E63" s="154"/>
      <c r="F63" s="154"/>
      <c r="G63" s="154"/>
      <c r="H63" s="154"/>
      <c r="I63" s="154"/>
      <c r="J63" s="154"/>
      <c r="K63" s="154"/>
      <c r="L63" s="154"/>
      <c r="M63" s="111"/>
      <c r="N63" s="144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145"/>
      <c r="AB63" s="184"/>
    </row>
    <row r="64" spans="2:28" ht="15" customHeight="1" x14ac:dyDescent="0.2">
      <c r="B64" s="184"/>
      <c r="C64" s="111"/>
      <c r="D64" s="111"/>
      <c r="E64" s="154"/>
      <c r="F64" s="154"/>
      <c r="G64" s="154"/>
      <c r="H64" s="154"/>
      <c r="I64" s="154"/>
      <c r="J64" s="154"/>
      <c r="K64" s="154"/>
      <c r="L64" s="154"/>
      <c r="M64" s="111"/>
      <c r="N64" s="144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45"/>
      <c r="AB64" s="184"/>
    </row>
    <row r="65" spans="2:28" ht="15" customHeight="1" thickBot="1" x14ac:dyDescent="0.25">
      <c r="B65" s="184"/>
      <c r="C65" s="111"/>
      <c r="D65" s="111"/>
      <c r="E65" s="154"/>
      <c r="F65" s="154"/>
      <c r="G65" s="154"/>
      <c r="H65" s="154"/>
      <c r="I65" s="154"/>
      <c r="J65" s="154"/>
      <c r="K65" s="154"/>
      <c r="L65" s="154"/>
      <c r="M65" s="111"/>
      <c r="N65" s="144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45"/>
      <c r="AB65" s="184"/>
    </row>
    <row r="66" spans="2:28" ht="15" customHeight="1" thickBot="1" x14ac:dyDescent="0.25">
      <c r="B66" s="184"/>
      <c r="C66" s="111"/>
      <c r="D66" s="224" t="s">
        <v>105</v>
      </c>
      <c r="E66" s="162"/>
      <c r="F66" s="163"/>
      <c r="G66" s="164">
        <v>13313</v>
      </c>
      <c r="H66" s="165"/>
      <c r="I66" s="165"/>
      <c r="J66" s="165"/>
      <c r="K66" s="164">
        <v>6540</v>
      </c>
      <c r="L66" s="154"/>
      <c r="M66" s="111"/>
      <c r="N66" s="144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145"/>
      <c r="AB66" s="184"/>
    </row>
    <row r="67" spans="2:28" ht="15" customHeight="1" thickBot="1" x14ac:dyDescent="0.25">
      <c r="B67" s="184"/>
      <c r="C67" s="111"/>
      <c r="D67" s="111"/>
      <c r="E67" s="163"/>
      <c r="F67" s="163"/>
      <c r="G67" s="165"/>
      <c r="H67" s="165"/>
      <c r="I67" s="165"/>
      <c r="J67" s="165"/>
      <c r="K67" s="165"/>
      <c r="L67" s="154"/>
      <c r="M67" s="111"/>
      <c r="N67" s="144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145"/>
      <c r="AB67" s="184"/>
    </row>
    <row r="68" spans="2:28" ht="15" customHeight="1" thickBot="1" x14ac:dyDescent="0.25">
      <c r="B68" s="184"/>
      <c r="C68" s="111"/>
      <c r="D68" s="111"/>
      <c r="E68" s="154"/>
      <c r="F68" s="154"/>
      <c r="G68" s="252">
        <f>K66</f>
        <v>6540</v>
      </c>
      <c r="H68" s="253"/>
      <c r="I68" s="253"/>
      <c r="J68" s="253"/>
      <c r="K68" s="254"/>
      <c r="L68" s="154"/>
      <c r="M68" s="111"/>
      <c r="N68" s="144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111"/>
      <c r="AA68" s="145"/>
      <c r="AB68" s="184"/>
    </row>
    <row r="69" spans="2:28" ht="15" customHeight="1" thickBot="1" x14ac:dyDescent="0.25">
      <c r="B69" s="184"/>
      <c r="C69" s="111"/>
      <c r="D69" s="111"/>
      <c r="E69" s="154"/>
      <c r="F69" s="154"/>
      <c r="G69" s="154"/>
      <c r="H69" s="154"/>
      <c r="I69" s="154"/>
      <c r="J69" s="154"/>
      <c r="K69" s="154"/>
      <c r="L69" s="154"/>
      <c r="M69" s="111"/>
      <c r="N69" s="144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  <c r="Z69" s="111"/>
      <c r="AA69" s="145"/>
      <c r="AB69" s="184"/>
    </row>
    <row r="70" spans="2:28" ht="15" customHeight="1" thickTop="1" thickBot="1" x14ac:dyDescent="0.25">
      <c r="B70" s="184"/>
      <c r="C70" s="111"/>
      <c r="D70" s="224" t="s">
        <v>106</v>
      </c>
      <c r="E70" s="166"/>
      <c r="F70" s="167"/>
      <c r="G70" s="255">
        <f>IFERROR((G66-K66)/G68,"")</f>
        <v>1.0356269113149847</v>
      </c>
      <c r="H70" s="256"/>
      <c r="I70" s="256"/>
      <c r="J70" s="256"/>
      <c r="K70" s="257"/>
      <c r="L70" s="154"/>
      <c r="M70" s="111"/>
      <c r="N70" s="144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  <c r="Z70" s="111"/>
      <c r="AA70" s="145"/>
      <c r="AB70" s="184"/>
    </row>
    <row r="71" spans="2:28" ht="15" customHeight="1" thickTop="1" x14ac:dyDescent="0.2">
      <c r="B71" s="184"/>
      <c r="C71" s="111"/>
      <c r="D71" s="111"/>
      <c r="E71" s="154"/>
      <c r="F71" s="154"/>
      <c r="G71" s="154"/>
      <c r="H71" s="154"/>
      <c r="I71" s="154"/>
      <c r="J71" s="154"/>
      <c r="K71" s="154"/>
      <c r="L71" s="154"/>
      <c r="M71" s="111"/>
      <c r="N71" s="147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9"/>
      <c r="AB71" s="184"/>
    </row>
    <row r="72" spans="2:28" ht="15" customHeight="1" x14ac:dyDescent="0.2">
      <c r="B72" s="184"/>
      <c r="AB72" s="184"/>
    </row>
    <row r="73" spans="2:28" ht="18" x14ac:dyDescent="0.25">
      <c r="B73" s="184"/>
      <c r="C73" s="241" t="s">
        <v>88</v>
      </c>
      <c r="D73" s="241"/>
      <c r="E73" s="241"/>
      <c r="F73" s="241"/>
      <c r="G73" s="242"/>
      <c r="H73" s="242"/>
      <c r="I73" s="242"/>
      <c r="J73" s="242"/>
      <c r="K73" s="242"/>
      <c r="N73" s="243" t="s">
        <v>89</v>
      </c>
      <c r="O73" s="243"/>
      <c r="P73" s="243"/>
      <c r="Q73" s="243"/>
      <c r="R73" s="243"/>
      <c r="S73" s="242"/>
      <c r="T73" s="242"/>
      <c r="U73" s="242"/>
      <c r="V73" s="242"/>
      <c r="W73" s="242"/>
      <c r="X73" s="225"/>
      <c r="AB73" s="184"/>
    </row>
    <row r="74" spans="2:28" ht="5.0999999999999996" customHeight="1" x14ac:dyDescent="0.25">
      <c r="B74" s="184"/>
      <c r="C74" s="220"/>
      <c r="D74" s="220"/>
      <c r="E74" s="220"/>
      <c r="F74" s="220"/>
      <c r="G74" s="221"/>
      <c r="H74" s="221"/>
      <c r="I74" s="221"/>
      <c r="J74" s="221"/>
      <c r="K74" s="221"/>
      <c r="N74" s="222"/>
      <c r="O74" s="222"/>
      <c r="P74" s="222"/>
      <c r="Q74" s="222"/>
      <c r="R74" s="222"/>
      <c r="S74" s="221"/>
      <c r="T74" s="221"/>
      <c r="U74" s="221"/>
      <c r="V74" s="221"/>
      <c r="W74" s="221"/>
      <c r="AB74" s="184"/>
    </row>
    <row r="75" spans="2:28" ht="12.75" x14ac:dyDescent="0.2">
      <c r="B75" s="184"/>
      <c r="AB75" s="184"/>
    </row>
    <row r="76" spans="2:28" ht="12.75" x14ac:dyDescent="0.2">
      <c r="B76" s="184"/>
      <c r="AB76" s="184"/>
    </row>
  </sheetData>
  <sheetProtection algorithmName="SHA-512" hashValue="8EO+0fUYcYOxVBgNsLg/hKHf1pvOCtqrQw4rpEw4nLn8e07ZRXeRlPjaJzCsu0MX1yHnL8/hHkQSVAeajm1ONQ==" saltValue="MioG7oKa3nNqeHcbLzO6+A==" spinCount="100000" sheet="1" objects="1" scenarios="1"/>
  <mergeCells count="34">
    <mergeCell ref="F21:F22"/>
    <mergeCell ref="G21:G22"/>
    <mergeCell ref="L21:L22"/>
    <mergeCell ref="M21:M22"/>
    <mergeCell ref="Y10:Z10"/>
    <mergeCell ref="X12:Z12"/>
    <mergeCell ref="W16:Y17"/>
    <mergeCell ref="W15:Y15"/>
    <mergeCell ref="Z16:AA17"/>
    <mergeCell ref="Z15:AA15"/>
    <mergeCell ref="Z13:AA14"/>
    <mergeCell ref="W13:Y14"/>
    <mergeCell ref="G16:H17"/>
    <mergeCell ref="I16:K17"/>
    <mergeCell ref="P16:R17"/>
    <mergeCell ref="S16:T17"/>
    <mergeCell ref="C73:F73"/>
    <mergeCell ref="G73:K73"/>
    <mergeCell ref="N73:R73"/>
    <mergeCell ref="S73:W73"/>
    <mergeCell ref="C33:AA33"/>
    <mergeCell ref="N35:AA36"/>
    <mergeCell ref="E53:L54"/>
    <mergeCell ref="N53:AA54"/>
    <mergeCell ref="G68:K68"/>
    <mergeCell ref="G70:K70"/>
    <mergeCell ref="D23:G23"/>
    <mergeCell ref="K23:N23"/>
    <mergeCell ref="D26:D27"/>
    <mergeCell ref="E26:G27"/>
    <mergeCell ref="K26:K27"/>
    <mergeCell ref="L26:N27"/>
    <mergeCell ref="E25:G25"/>
    <mergeCell ref="K25:N25"/>
  </mergeCells>
  <conditionalFormatting sqref="G66 K66 G68">
    <cfRule type="expression" dxfId="4" priority="2">
      <formula>ISBLANK(G66)</formula>
    </cfRule>
  </conditionalFormatting>
  <conditionalFormatting sqref="I16 S16">
    <cfRule type="expression" dxfId="3" priority="1">
      <formula>ISBLANK(I16)</formula>
    </cfRule>
  </conditionalFormatting>
  <pageMargins left="0.2" right="0.2" top="0.75" bottom="0.5" header="0.3" footer="0.3"/>
  <pageSetup scale="57" orientation="portrait" horizontalDpi="4294967293" verticalDpi="4294967293" r:id="rId1"/>
  <headerFooter>
    <oddHeader>&amp;L&amp;G</oddHeader>
  </headerFooter>
  <colBreaks count="1" manualBreakCount="1">
    <brk id="27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83"/>
  <sheetViews>
    <sheetView showGridLines="0" showRowColHeaders="0" workbookViewId="0"/>
  </sheetViews>
  <sheetFormatPr defaultColWidth="0" defaultRowHeight="12.75" customHeight="1" zeroHeight="1" x14ac:dyDescent="0.2"/>
  <cols>
    <col min="1" max="1" width="4.7109375" style="13" customWidth="1"/>
    <col min="2" max="18" width="9.140625" style="13" customWidth="1"/>
    <col min="19" max="19" width="4.7109375" style="13" customWidth="1"/>
    <col min="20" max="22" width="0" style="13" hidden="1" customWidth="1"/>
    <col min="23" max="16384" width="9.140625" style="13" hidden="1"/>
  </cols>
  <sheetData>
    <row r="1" spans="1:19" x14ac:dyDescent="0.2">
      <c r="A1" s="14"/>
      <c r="S1" s="14"/>
    </row>
    <row r="2" spans="1:19" x14ac:dyDescent="0.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">
      <c r="A6" s="14"/>
      <c r="S6" s="14"/>
    </row>
    <row r="7" spans="1:19" x14ac:dyDescent="0.2">
      <c r="A7" s="14"/>
      <c r="S7" s="14"/>
    </row>
    <row r="8" spans="1:19" x14ac:dyDescent="0.2">
      <c r="A8" s="14"/>
      <c r="S8" s="14"/>
    </row>
    <row r="9" spans="1:19" x14ac:dyDescent="0.2">
      <c r="A9" s="14"/>
      <c r="S9" s="14"/>
    </row>
    <row r="10" spans="1:19" x14ac:dyDescent="0.2">
      <c r="A10" s="14"/>
      <c r="S10" s="14"/>
    </row>
    <row r="11" spans="1:19" x14ac:dyDescent="0.2">
      <c r="A11" s="14"/>
      <c r="D11" s="90"/>
      <c r="S11" s="14"/>
    </row>
    <row r="12" spans="1:19" x14ac:dyDescent="0.2">
      <c r="A12" s="14"/>
      <c r="S12" s="14"/>
    </row>
    <row r="13" spans="1:19" x14ac:dyDescent="0.2">
      <c r="A13" s="14"/>
      <c r="S13" s="14"/>
    </row>
    <row r="14" spans="1:19" x14ac:dyDescent="0.2">
      <c r="A14" s="14"/>
      <c r="S14" s="14"/>
    </row>
    <row r="15" spans="1:19" x14ac:dyDescent="0.2">
      <c r="A15" s="14"/>
      <c r="S15" s="14"/>
    </row>
    <row r="16" spans="1:19" x14ac:dyDescent="0.2">
      <c r="A16" s="14"/>
      <c r="S16" s="14"/>
    </row>
    <row r="17" spans="1:19" x14ac:dyDescent="0.2">
      <c r="A17" s="14"/>
      <c r="S17" s="14"/>
    </row>
    <row r="18" spans="1:19" ht="12.75" customHeight="1" x14ac:dyDescent="0.2">
      <c r="A18" s="14"/>
      <c r="S18" s="14"/>
    </row>
    <row r="19" spans="1:19" ht="12.75" customHeight="1" x14ac:dyDescent="0.2">
      <c r="A19" s="14"/>
      <c r="S19" s="14"/>
    </row>
    <row r="20" spans="1:19" ht="12.75" customHeight="1" x14ac:dyDescent="0.2">
      <c r="A20" s="14"/>
      <c r="S20" s="14"/>
    </row>
    <row r="21" spans="1:19" ht="12.75" customHeight="1" x14ac:dyDescent="0.2">
      <c r="A21" s="14"/>
      <c r="S21" s="14"/>
    </row>
    <row r="22" spans="1:19" ht="12.75" customHeight="1" x14ac:dyDescent="0.2">
      <c r="A22" s="14"/>
      <c r="S22" s="14"/>
    </row>
    <row r="23" spans="1:19" ht="12.75" customHeight="1" x14ac:dyDescent="0.2">
      <c r="A23" s="14"/>
      <c r="S23" s="14"/>
    </row>
    <row r="24" spans="1:19" ht="12.75" customHeight="1" x14ac:dyDescent="0.2">
      <c r="A24" s="14"/>
      <c r="S24" s="14"/>
    </row>
    <row r="25" spans="1:19" x14ac:dyDescent="0.2">
      <c r="A25" s="14"/>
      <c r="S25" s="14"/>
    </row>
    <row r="26" spans="1:19" x14ac:dyDescent="0.2">
      <c r="A26" s="14"/>
      <c r="S26" s="14"/>
    </row>
    <row r="27" spans="1:19" x14ac:dyDescent="0.2">
      <c r="A27" s="14"/>
      <c r="S27" s="14"/>
    </row>
    <row r="28" spans="1:19" x14ac:dyDescent="0.2">
      <c r="A28" s="14"/>
      <c r="S28" s="14"/>
    </row>
    <row r="29" spans="1:19" x14ac:dyDescent="0.2">
      <c r="A29" s="14"/>
      <c r="S29" s="14"/>
    </row>
    <row r="30" spans="1:19" x14ac:dyDescent="0.2">
      <c r="A30" s="14"/>
      <c r="S30" s="14"/>
    </row>
    <row r="31" spans="1:19" x14ac:dyDescent="0.2">
      <c r="A31" s="14"/>
      <c r="S31" s="14"/>
    </row>
    <row r="32" spans="1:19" x14ac:dyDescent="0.2">
      <c r="A32" s="14"/>
      <c r="S32" s="14"/>
    </row>
    <row r="33" spans="1:19" x14ac:dyDescent="0.2">
      <c r="A33" s="14"/>
      <c r="S33" s="14"/>
    </row>
    <row r="34" spans="1:19" x14ac:dyDescent="0.2">
      <c r="A34" s="14"/>
      <c r="S34" s="14"/>
    </row>
    <row r="35" spans="1:19" x14ac:dyDescent="0.2">
      <c r="A35" s="14"/>
      <c r="S35" s="14"/>
    </row>
    <row r="36" spans="1:19" x14ac:dyDescent="0.2">
      <c r="A36" s="14"/>
      <c r="S36" s="14"/>
    </row>
    <row r="37" spans="1:19" x14ac:dyDescent="0.2">
      <c r="A37" s="14"/>
      <c r="S37" s="14"/>
    </row>
    <row r="38" spans="1:19" x14ac:dyDescent="0.2">
      <c r="A38" s="14"/>
      <c r="G38" s="90"/>
      <c r="S38" s="14"/>
    </row>
    <row r="39" spans="1:19" x14ac:dyDescent="0.2">
      <c r="A39" s="14"/>
      <c r="S39" s="14"/>
    </row>
    <row r="40" spans="1:19" x14ac:dyDescent="0.2">
      <c r="A40" s="14"/>
      <c r="S40" s="14"/>
    </row>
    <row r="41" spans="1:19" x14ac:dyDescent="0.2">
      <c r="A41" s="14"/>
      <c r="S41" s="14"/>
    </row>
    <row r="42" spans="1:19" x14ac:dyDescent="0.2">
      <c r="A42" s="14"/>
      <c r="S42" s="14"/>
    </row>
    <row r="43" spans="1:19" x14ac:dyDescent="0.2">
      <c r="A43" s="14"/>
      <c r="S43" s="14"/>
    </row>
    <row r="44" spans="1:19" x14ac:dyDescent="0.2">
      <c r="A44" s="14"/>
      <c r="S44" s="14"/>
    </row>
    <row r="45" spans="1:19" x14ac:dyDescent="0.2">
      <c r="A45" s="14"/>
      <c r="S45" s="14"/>
    </row>
    <row r="46" spans="1:19" x14ac:dyDescent="0.2">
      <c r="A46" s="14"/>
      <c r="S46" s="14"/>
    </row>
    <row r="47" spans="1:19" x14ac:dyDescent="0.2">
      <c r="A47" s="14"/>
      <c r="S47" s="14"/>
    </row>
    <row r="48" spans="1:19" x14ac:dyDescent="0.2">
      <c r="A48" s="14"/>
      <c r="S48" s="14"/>
    </row>
    <row r="49" spans="1:19" x14ac:dyDescent="0.2">
      <c r="A49" s="14"/>
      <c r="S49" s="14"/>
    </row>
    <row r="50" spans="1:19" x14ac:dyDescent="0.2">
      <c r="A50" s="14"/>
      <c r="S50" s="14"/>
    </row>
    <row r="51" spans="1:19" x14ac:dyDescent="0.2">
      <c r="A51" s="14"/>
      <c r="S51" s="14"/>
    </row>
    <row r="52" spans="1:19" x14ac:dyDescent="0.2">
      <c r="A52" s="14"/>
      <c r="S52" s="14"/>
    </row>
    <row r="53" spans="1:19" x14ac:dyDescent="0.2">
      <c r="A53" s="14"/>
      <c r="S53" s="14"/>
    </row>
    <row r="54" spans="1:19" x14ac:dyDescent="0.2">
      <c r="A54" s="14"/>
      <c r="S54" s="14"/>
    </row>
    <row r="55" spans="1:19" x14ac:dyDescent="0.2">
      <c r="A55" s="14"/>
      <c r="S55" s="14"/>
    </row>
    <row r="56" spans="1:19" hidden="1" x14ac:dyDescent="0.2"/>
    <row r="57" spans="1:19" hidden="1" x14ac:dyDescent="0.2"/>
    <row r="58" spans="1:19" hidden="1" x14ac:dyDescent="0.2"/>
    <row r="59" spans="1:19" hidden="1" x14ac:dyDescent="0.2"/>
    <row r="60" spans="1:19" hidden="1" x14ac:dyDescent="0.2"/>
    <row r="61" spans="1:19" hidden="1" x14ac:dyDescent="0.2"/>
    <row r="62" spans="1:19" hidden="1" x14ac:dyDescent="0.2"/>
    <row r="63" spans="1:19" hidden="1" x14ac:dyDescent="0.2"/>
    <row r="64" spans="1:19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</sheetData>
  <sheetProtection password="ED00" sheet="1" objects="1" scenarios="1"/>
  <pageMargins left="0.7" right="0.7" top="0.75" bottom="0.75" header="0.3" footer="0.3"/>
  <pageSetup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W75"/>
  <sheetViews>
    <sheetView showGridLines="0" showRowColHeaders="0" workbookViewId="0"/>
  </sheetViews>
  <sheetFormatPr defaultColWidth="0" defaultRowHeight="12.75" customHeight="1" zeroHeight="1" x14ac:dyDescent="0.2"/>
  <cols>
    <col min="1" max="1" width="4.7109375" style="13" customWidth="1"/>
    <col min="2" max="19" width="9.140625" style="13" customWidth="1"/>
    <col min="20" max="20" width="4.7109375" style="13" customWidth="1"/>
    <col min="21" max="23" width="0" style="13" hidden="1" customWidth="1"/>
    <col min="24" max="16384" width="9.140625" style="13" hidden="1"/>
  </cols>
  <sheetData>
    <row r="1" spans="1:20" x14ac:dyDescent="0.2">
      <c r="A1" s="14"/>
      <c r="T1" s="14"/>
    </row>
    <row r="2" spans="1:20" x14ac:dyDescent="0.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</row>
    <row r="3" spans="1:20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</row>
    <row r="4" spans="1:20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</row>
    <row r="5" spans="1:20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</row>
    <row r="6" spans="1:20" x14ac:dyDescent="0.2">
      <c r="A6" s="14"/>
      <c r="T6" s="14"/>
    </row>
    <row r="7" spans="1:20" x14ac:dyDescent="0.2">
      <c r="A7" s="14"/>
      <c r="T7" s="14"/>
    </row>
    <row r="8" spans="1:20" x14ac:dyDescent="0.2">
      <c r="A8" s="14"/>
      <c r="T8" s="14"/>
    </row>
    <row r="9" spans="1:20" x14ac:dyDescent="0.2">
      <c r="A9" s="14"/>
      <c r="D9" s="90"/>
      <c r="T9" s="14"/>
    </row>
    <row r="10" spans="1:20" x14ac:dyDescent="0.2">
      <c r="A10" s="14"/>
      <c r="T10" s="14"/>
    </row>
    <row r="11" spans="1:20" x14ac:dyDescent="0.2">
      <c r="A11" s="14"/>
      <c r="T11" s="14"/>
    </row>
    <row r="12" spans="1:20" x14ac:dyDescent="0.2">
      <c r="A12" s="14"/>
      <c r="T12" s="14"/>
    </row>
    <row r="13" spans="1:20" ht="12.75" customHeight="1" x14ac:dyDescent="0.2">
      <c r="A13" s="14"/>
      <c r="T13" s="14"/>
    </row>
    <row r="14" spans="1:20" ht="12.75" customHeight="1" x14ac:dyDescent="0.2">
      <c r="A14" s="14"/>
      <c r="T14" s="14"/>
    </row>
    <row r="15" spans="1:20" x14ac:dyDescent="0.2">
      <c r="A15" s="14"/>
      <c r="T15" s="14"/>
    </row>
    <row r="16" spans="1:20" x14ac:dyDescent="0.2">
      <c r="A16" s="14"/>
      <c r="T16" s="14"/>
    </row>
    <row r="17" spans="1:20" x14ac:dyDescent="0.2">
      <c r="A17" s="14"/>
      <c r="T17" s="14"/>
    </row>
    <row r="18" spans="1:20" x14ac:dyDescent="0.2">
      <c r="A18" s="14"/>
      <c r="T18" s="14"/>
    </row>
    <row r="19" spans="1:20" x14ac:dyDescent="0.2">
      <c r="A19" s="14"/>
      <c r="T19" s="14"/>
    </row>
    <row r="20" spans="1:20" x14ac:dyDescent="0.2">
      <c r="A20" s="14"/>
      <c r="T20" s="14"/>
    </row>
    <row r="21" spans="1:20" x14ac:dyDescent="0.2">
      <c r="A21" s="14"/>
      <c r="T21" s="14"/>
    </row>
    <row r="22" spans="1:20" x14ac:dyDescent="0.2">
      <c r="A22" s="14"/>
      <c r="T22" s="14"/>
    </row>
    <row r="23" spans="1:20" x14ac:dyDescent="0.2">
      <c r="A23" s="14"/>
      <c r="T23" s="14"/>
    </row>
    <row r="24" spans="1:20" x14ac:dyDescent="0.2">
      <c r="A24" s="14"/>
      <c r="T24" s="14"/>
    </row>
    <row r="25" spans="1:20" x14ac:dyDescent="0.2">
      <c r="A25" s="14"/>
      <c r="T25" s="14"/>
    </row>
    <row r="26" spans="1:20" x14ac:dyDescent="0.2">
      <c r="A26" s="14"/>
      <c r="T26" s="14"/>
    </row>
    <row r="27" spans="1:20" x14ac:dyDescent="0.2">
      <c r="A27" s="14"/>
      <c r="T27" s="14"/>
    </row>
    <row r="28" spans="1:20" x14ac:dyDescent="0.2">
      <c r="A28" s="14"/>
      <c r="T28" s="14"/>
    </row>
    <row r="29" spans="1:20" x14ac:dyDescent="0.2">
      <c r="A29" s="14"/>
      <c r="T29" s="14"/>
    </row>
    <row r="30" spans="1:20" x14ac:dyDescent="0.2">
      <c r="A30" s="14"/>
      <c r="T30" s="14"/>
    </row>
    <row r="31" spans="1:20" x14ac:dyDescent="0.2">
      <c r="A31" s="14"/>
      <c r="T31" s="14"/>
    </row>
    <row r="32" spans="1:20" x14ac:dyDescent="0.2">
      <c r="A32" s="14"/>
      <c r="T32" s="14"/>
    </row>
    <row r="33" spans="1:20" x14ac:dyDescent="0.2">
      <c r="A33" s="14"/>
      <c r="T33" s="14"/>
    </row>
    <row r="34" spans="1:20" x14ac:dyDescent="0.2">
      <c r="A34" s="14"/>
      <c r="T34" s="14"/>
    </row>
    <row r="35" spans="1:20" x14ac:dyDescent="0.2">
      <c r="A35" s="14"/>
      <c r="T35" s="14"/>
    </row>
    <row r="36" spans="1:20" x14ac:dyDescent="0.2">
      <c r="A36" s="14"/>
      <c r="T36" s="14"/>
    </row>
    <row r="37" spans="1:20" x14ac:dyDescent="0.2">
      <c r="A37" s="14"/>
      <c r="T37" s="14"/>
    </row>
    <row r="38" spans="1:20" x14ac:dyDescent="0.2">
      <c r="A38" s="14"/>
      <c r="T38" s="14"/>
    </row>
    <row r="39" spans="1:20" x14ac:dyDescent="0.2">
      <c r="A39" s="14"/>
      <c r="T39" s="14"/>
    </row>
    <row r="40" spans="1:20" x14ac:dyDescent="0.2">
      <c r="A40" s="14"/>
      <c r="T40" s="14"/>
    </row>
    <row r="41" spans="1:20" x14ac:dyDescent="0.2">
      <c r="A41" s="14"/>
      <c r="T41" s="14"/>
    </row>
    <row r="42" spans="1:20" x14ac:dyDescent="0.2">
      <c r="A42" s="14"/>
      <c r="T42" s="14"/>
    </row>
    <row r="43" spans="1:20" x14ac:dyDescent="0.2">
      <c r="A43" s="14"/>
      <c r="T43" s="14"/>
    </row>
    <row r="44" spans="1:20" x14ac:dyDescent="0.2">
      <c r="A44" s="14"/>
      <c r="T44" s="14"/>
    </row>
    <row r="45" spans="1:20" x14ac:dyDescent="0.2">
      <c r="A45" s="14"/>
      <c r="T45" s="14"/>
    </row>
    <row r="46" spans="1:20" x14ac:dyDescent="0.2">
      <c r="A46" s="14"/>
      <c r="T46" s="14"/>
    </row>
    <row r="47" spans="1:20" x14ac:dyDescent="0.2">
      <c r="A47" s="14"/>
      <c r="T47" s="14"/>
    </row>
    <row r="48" spans="1:20" ht="12.75" hidden="1" customHeight="1" x14ac:dyDescent="0.2"/>
    <row r="49" ht="12.75" hidden="1" customHeight="1" x14ac:dyDescent="0.2"/>
    <row r="50" ht="12.75" hidden="1" customHeight="1" x14ac:dyDescent="0.2"/>
    <row r="51" ht="12.75" hidden="1" customHeight="1" x14ac:dyDescent="0.2"/>
    <row r="52" ht="12.75" hidden="1" customHeight="1" x14ac:dyDescent="0.2"/>
    <row r="53" ht="12.75" hidden="1" customHeight="1" x14ac:dyDescent="0.2"/>
    <row r="54" ht="12.75" hidden="1" customHeight="1" x14ac:dyDescent="0.2"/>
    <row r="55" ht="12.75" hidden="1" customHeight="1" x14ac:dyDescent="0.2"/>
    <row r="56" ht="12.75" hidden="1" customHeight="1" x14ac:dyDescent="0.2"/>
    <row r="57" ht="12.75" hidden="1" customHeight="1" x14ac:dyDescent="0.2"/>
    <row r="58" ht="12.75" hidden="1" customHeight="1" x14ac:dyDescent="0.2"/>
    <row r="59" ht="12.75" hidden="1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hidden="1" customHeight="1" x14ac:dyDescent="0.2"/>
    <row r="64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  <row r="74" ht="12.75" hidden="1" customHeight="1" x14ac:dyDescent="0.2"/>
    <row r="75" ht="12.75" hidden="1" customHeight="1" x14ac:dyDescent="0.2"/>
  </sheetData>
  <sheetProtection password="ED00" sheet="1" objects="1" scenarios="1"/>
  <pageMargins left="0.7" right="0.7" top="0.75" bottom="0.75" header="0.3" footer="0.3"/>
  <pageSetup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50"/>
    <pageSetUpPr fitToPage="1"/>
  </sheetPr>
  <dimension ref="A1:AF86"/>
  <sheetViews>
    <sheetView showGridLines="0" showRowColHeaders="0" tabSelected="1" topLeftCell="A22" zoomScaleNormal="100" workbookViewId="0">
      <selection activeCell="L42" sqref="L42:N42"/>
    </sheetView>
  </sheetViews>
  <sheetFormatPr defaultColWidth="0" defaultRowHeight="12.75" zeroHeight="1" x14ac:dyDescent="0.2"/>
  <cols>
    <col min="1" max="1" width="4.7109375" customWidth="1"/>
    <col min="2" max="2" width="2.7109375" customWidth="1"/>
    <col min="3" max="4" width="1.7109375" customWidth="1"/>
    <col min="5" max="7" width="8.7109375" customWidth="1"/>
    <col min="8" max="10" width="1.7109375" customWidth="1"/>
    <col min="11" max="13" width="8.7109375" customWidth="1"/>
    <col min="14" max="16" width="1.7109375" customWidth="1"/>
    <col min="17" max="19" width="8.7109375" customWidth="1"/>
    <col min="20" max="22" width="1.7109375" customWidth="1"/>
    <col min="23" max="25" width="8.7109375" customWidth="1"/>
    <col min="26" max="27" width="1.7109375" customWidth="1"/>
    <col min="28" max="28" width="2.7109375" customWidth="1"/>
    <col min="29" max="29" width="4.7109375" customWidth="1"/>
    <col min="30" max="16384" width="9.140625" hidden="1"/>
  </cols>
  <sheetData>
    <row r="1" spans="1:29" x14ac:dyDescent="0.2">
      <c r="A1" s="91"/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3"/>
    </row>
    <row r="2" spans="1:29" x14ac:dyDescent="0.2">
      <c r="A2" s="94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95"/>
    </row>
    <row r="3" spans="1:29" x14ac:dyDescent="0.2">
      <c r="A3" s="94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95"/>
    </row>
    <row r="4" spans="1:29" x14ac:dyDescent="0.2">
      <c r="A4" s="94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95"/>
    </row>
    <row r="5" spans="1:29" x14ac:dyDescent="0.2">
      <c r="A5" s="94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95"/>
    </row>
    <row r="6" spans="1:29" x14ac:dyDescent="0.2">
      <c r="A6" s="94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95"/>
    </row>
    <row r="7" spans="1:29" x14ac:dyDescent="0.2">
      <c r="A7" s="9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95"/>
    </row>
    <row r="8" spans="1:29" x14ac:dyDescent="0.2">
      <c r="A8" s="94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95"/>
    </row>
    <row r="9" spans="1:29" x14ac:dyDescent="0.2">
      <c r="A9" s="94"/>
      <c r="B9" s="1"/>
      <c r="C9" s="1"/>
      <c r="D9" s="1"/>
      <c r="E9" s="1"/>
      <c r="F9" s="1"/>
      <c r="G9" s="1"/>
      <c r="H9" s="2"/>
      <c r="I9" s="1"/>
      <c r="J9" s="1"/>
      <c r="K9" s="1"/>
      <c r="L9" s="1"/>
      <c r="M9" s="2"/>
      <c r="N9" s="1"/>
      <c r="O9" s="1"/>
      <c r="P9" s="1"/>
      <c r="Q9" s="1"/>
      <c r="R9" s="1"/>
      <c r="S9" s="2"/>
      <c r="T9" s="1"/>
      <c r="U9" s="1"/>
      <c r="V9" s="1"/>
      <c r="W9" s="1"/>
      <c r="X9" s="1"/>
      <c r="Y9" s="1"/>
      <c r="Z9" s="1"/>
      <c r="AA9" s="1"/>
      <c r="AB9" s="1"/>
      <c r="AC9" s="95"/>
    </row>
    <row r="10" spans="1:29" x14ac:dyDescent="0.2">
      <c r="A10" s="94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95"/>
    </row>
    <row r="11" spans="1:29" ht="5.0999999999999996" customHeight="1" x14ac:dyDescent="0.2">
      <c r="A11" s="94"/>
      <c r="B11" s="1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1"/>
      <c r="AC11" s="95"/>
    </row>
    <row r="12" spans="1:29" ht="15" customHeight="1" x14ac:dyDescent="0.2">
      <c r="A12" s="94"/>
      <c r="B12" s="1"/>
      <c r="C12" s="96"/>
      <c r="D12" s="18"/>
      <c r="E12" s="19"/>
      <c r="F12" s="394" t="s">
        <v>5</v>
      </c>
      <c r="G12" s="396" t="s">
        <v>57</v>
      </c>
      <c r="H12" s="20"/>
      <c r="I12" s="96"/>
      <c r="J12" s="21"/>
      <c r="K12" s="19"/>
      <c r="L12" s="394" t="s">
        <v>49</v>
      </c>
      <c r="M12" s="396" t="s">
        <v>58</v>
      </c>
      <c r="N12" s="22"/>
      <c r="O12" s="96"/>
      <c r="P12" s="21"/>
      <c r="Q12" s="19"/>
      <c r="R12" s="19"/>
      <c r="S12" s="19"/>
      <c r="T12" s="22"/>
      <c r="U12" s="96"/>
      <c r="V12" s="21"/>
      <c r="W12" s="19"/>
      <c r="X12" s="19"/>
      <c r="Y12" s="19"/>
      <c r="Z12" s="22"/>
      <c r="AA12" s="96"/>
      <c r="AB12" s="1"/>
      <c r="AC12" s="95"/>
    </row>
    <row r="13" spans="1:29" ht="15" customHeight="1" x14ac:dyDescent="0.2">
      <c r="A13" s="94"/>
      <c r="B13" s="1"/>
      <c r="C13" s="96"/>
      <c r="D13" s="23"/>
      <c r="E13" s="24"/>
      <c r="F13" s="395"/>
      <c r="G13" s="397"/>
      <c r="H13" s="27"/>
      <c r="I13" s="96"/>
      <c r="J13" s="28"/>
      <c r="K13" s="24"/>
      <c r="L13" s="395"/>
      <c r="M13" s="397"/>
      <c r="N13" s="29"/>
      <c r="O13" s="96"/>
      <c r="P13" s="28"/>
      <c r="Q13" s="24"/>
      <c r="R13" s="25" t="s">
        <v>5</v>
      </c>
      <c r="S13" s="26" t="s">
        <v>6</v>
      </c>
      <c r="T13" s="29"/>
      <c r="U13" s="96"/>
      <c r="V13" s="28"/>
      <c r="W13" s="24"/>
      <c r="X13" s="25" t="s">
        <v>50</v>
      </c>
      <c r="Y13" s="26" t="s">
        <v>45</v>
      </c>
      <c r="Z13" s="29"/>
      <c r="AA13" s="96"/>
      <c r="AB13" s="1"/>
      <c r="AC13" s="95"/>
    </row>
    <row r="14" spans="1:29" s="75" customFormat="1" ht="15" customHeight="1" x14ac:dyDescent="0.2">
      <c r="A14" s="97"/>
      <c r="B14" s="66"/>
      <c r="C14" s="98"/>
      <c r="D14" s="69"/>
      <c r="E14" s="70" t="str">
        <f>FIXED(S45,0,FALSE)</f>
        <v>38,106</v>
      </c>
      <c r="F14" s="71"/>
      <c r="G14" s="31" t="s">
        <v>51</v>
      </c>
      <c r="H14" s="72"/>
      <c r="I14" s="98"/>
      <c r="J14" s="69"/>
      <c r="K14" s="73" t="str">
        <f>FIXED(S46,0,FALSE)</f>
        <v>38,106</v>
      </c>
      <c r="L14" s="74"/>
      <c r="M14" s="31" t="s">
        <v>51</v>
      </c>
      <c r="N14" s="72"/>
      <c r="O14" s="98"/>
      <c r="P14" s="69"/>
      <c r="Q14" s="30" t="str">
        <f>ROUND(S20,0)&amp;" million"</f>
        <v>0 million</v>
      </c>
      <c r="R14" s="74"/>
      <c r="S14" s="31" t="s">
        <v>59</v>
      </c>
      <c r="T14" s="72"/>
      <c r="U14" s="98"/>
      <c r="V14" s="69"/>
      <c r="W14" s="32">
        <f>S70</f>
        <v>0</v>
      </c>
      <c r="X14" s="74"/>
      <c r="Y14" s="31" t="s">
        <v>52</v>
      </c>
      <c r="Z14" s="72"/>
      <c r="AA14" s="98"/>
      <c r="AB14" s="66"/>
      <c r="AC14" s="99"/>
    </row>
    <row r="15" spans="1:29" ht="2.1" customHeight="1" x14ac:dyDescent="0.2">
      <c r="A15" s="94"/>
      <c r="B15" s="1"/>
      <c r="C15" s="96"/>
      <c r="D15" s="23"/>
      <c r="E15" s="33"/>
      <c r="F15" s="33"/>
      <c r="G15" s="33"/>
      <c r="H15" s="27"/>
      <c r="I15" s="96"/>
      <c r="J15" s="23"/>
      <c r="K15" s="33"/>
      <c r="L15" s="33"/>
      <c r="M15" s="33"/>
      <c r="N15" s="27"/>
      <c r="O15" s="96"/>
      <c r="P15" s="23"/>
      <c r="Q15" s="33"/>
      <c r="R15" s="33"/>
      <c r="S15" s="33"/>
      <c r="T15" s="27"/>
      <c r="U15" s="96"/>
      <c r="V15" s="23"/>
      <c r="W15" s="33"/>
      <c r="X15" s="33"/>
      <c r="Y15" s="33"/>
      <c r="Z15" s="27"/>
      <c r="AA15" s="96"/>
      <c r="AB15" s="1"/>
      <c r="AC15" s="95"/>
    </row>
    <row r="16" spans="1:29" ht="30" customHeight="1" x14ac:dyDescent="0.4">
      <c r="A16" s="94"/>
      <c r="B16" s="1"/>
      <c r="C16" s="96"/>
      <c r="D16" s="23"/>
      <c r="E16" s="34"/>
      <c r="F16" s="385">
        <f>AB45</f>
        <v>6.25E-2</v>
      </c>
      <c r="G16" s="385"/>
      <c r="H16" s="27"/>
      <c r="I16" s="96"/>
      <c r="J16" s="23"/>
      <c r="K16" s="34"/>
      <c r="L16" s="385">
        <f>AB46</f>
        <v>0.24999999999999992</v>
      </c>
      <c r="M16" s="385"/>
      <c r="N16" s="27"/>
      <c r="O16" s="96"/>
      <c r="P16" s="23"/>
      <c r="Q16" s="34"/>
      <c r="R16" s="362">
        <f>U61</f>
        <v>0</v>
      </c>
      <c r="S16" s="362"/>
      <c r="T16" s="27"/>
      <c r="U16" s="96"/>
      <c r="V16" s="23"/>
      <c r="W16" s="34"/>
      <c r="X16" s="362">
        <f>U62</f>
        <v>0</v>
      </c>
      <c r="Y16" s="362"/>
      <c r="Z16" s="27"/>
      <c r="AA16" s="96"/>
      <c r="AB16" s="1"/>
      <c r="AC16" s="95"/>
    </row>
    <row r="17" spans="1:29" ht="15" customHeight="1" x14ac:dyDescent="0.2">
      <c r="A17" s="94"/>
      <c r="B17" s="1"/>
      <c r="C17" s="96"/>
      <c r="D17" s="23"/>
      <c r="E17" s="381">
        <f>S49</f>
        <v>457.27199999999993</v>
      </c>
      <c r="F17" s="381"/>
      <c r="G17" s="383" t="s">
        <v>53</v>
      </c>
      <c r="H17" s="27"/>
      <c r="I17" s="96"/>
      <c r="J17" s="23"/>
      <c r="K17" s="381">
        <f>S50</f>
        <v>800.2259999999992</v>
      </c>
      <c r="L17" s="381"/>
      <c r="M17" s="383" t="s">
        <v>53</v>
      </c>
      <c r="N17" s="35"/>
      <c r="O17" s="96"/>
      <c r="P17" s="23"/>
      <c r="Q17" s="381">
        <f>V61</f>
        <v>0</v>
      </c>
      <c r="R17" s="381"/>
      <c r="S17" s="383" t="s">
        <v>53</v>
      </c>
      <c r="T17" s="27"/>
      <c r="U17" s="96"/>
      <c r="V17" s="23"/>
      <c r="W17" s="381"/>
      <c r="X17" s="381"/>
      <c r="Y17" s="383"/>
      <c r="Z17" s="27"/>
      <c r="AA17" s="96"/>
      <c r="AB17" s="1"/>
      <c r="AC17" s="95"/>
    </row>
    <row r="18" spans="1:29" ht="15" customHeight="1" x14ac:dyDescent="0.2">
      <c r="A18" s="94"/>
      <c r="B18" s="1"/>
      <c r="C18" s="96"/>
      <c r="D18" s="36"/>
      <c r="E18" s="382"/>
      <c r="F18" s="382"/>
      <c r="G18" s="384"/>
      <c r="H18" s="37"/>
      <c r="I18" s="96"/>
      <c r="J18" s="36"/>
      <c r="K18" s="382"/>
      <c r="L18" s="382"/>
      <c r="M18" s="384"/>
      <c r="N18" s="37"/>
      <c r="O18" s="96"/>
      <c r="P18" s="36"/>
      <c r="Q18" s="382"/>
      <c r="R18" s="382"/>
      <c r="S18" s="384"/>
      <c r="T18" s="37"/>
      <c r="U18" s="96"/>
      <c r="V18" s="36"/>
      <c r="W18" s="382"/>
      <c r="X18" s="382"/>
      <c r="Y18" s="384"/>
      <c r="Z18" s="37"/>
      <c r="AA18" s="96"/>
      <c r="AB18" s="1"/>
      <c r="AC18" s="95"/>
    </row>
    <row r="19" spans="1:29" ht="5.0999999999999996" customHeight="1" x14ac:dyDescent="0.2">
      <c r="A19" s="94"/>
      <c r="B19" s="1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1"/>
      <c r="AC19" s="95"/>
    </row>
    <row r="20" spans="1:29" hidden="1" x14ac:dyDescent="0.2">
      <c r="A20" s="94"/>
      <c r="B20" s="1"/>
      <c r="C20" s="7"/>
      <c r="D20" s="7"/>
      <c r="E20" s="7"/>
      <c r="F20" s="7"/>
      <c r="G20" s="7"/>
      <c r="H20" s="7"/>
      <c r="I20" s="7"/>
      <c r="J20" s="7"/>
      <c r="K20" s="7"/>
      <c r="L20" s="16"/>
      <c r="M20" s="16"/>
      <c r="N20" s="16"/>
      <c r="O20" s="7"/>
      <c r="P20" s="7"/>
      <c r="Q20" s="7"/>
      <c r="R20" s="17"/>
      <c r="S20" s="17"/>
      <c r="T20" s="17"/>
      <c r="U20" s="7"/>
      <c r="V20" s="7"/>
      <c r="W20" s="7"/>
      <c r="X20" s="17"/>
      <c r="Y20" s="17"/>
      <c r="Z20" s="17"/>
      <c r="AA20" s="7"/>
      <c r="AB20" s="1"/>
      <c r="AC20" s="95"/>
    </row>
    <row r="21" spans="1:29" hidden="1" x14ac:dyDescent="0.2">
      <c r="A21" s="94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2"/>
      <c r="S21" s="2"/>
      <c r="T21" s="1"/>
      <c r="U21" s="1"/>
      <c r="V21" s="1"/>
      <c r="W21" s="1"/>
      <c r="X21" s="1"/>
      <c r="Y21" s="1"/>
      <c r="Z21" s="1"/>
      <c r="AA21" s="1"/>
      <c r="AB21" s="1"/>
      <c r="AC21" s="95"/>
    </row>
    <row r="22" spans="1:29" x14ac:dyDescent="0.2">
      <c r="A22" s="94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95"/>
    </row>
    <row r="23" spans="1:29" s="48" customFormat="1" ht="18" x14ac:dyDescent="0.25">
      <c r="A23" s="100"/>
      <c r="B23" s="2"/>
      <c r="C23" s="363" t="s">
        <v>7</v>
      </c>
      <c r="D23" s="364"/>
      <c r="E23" s="364"/>
      <c r="F23" s="364"/>
      <c r="G23" s="364"/>
      <c r="H23" s="364"/>
      <c r="I23" s="364"/>
      <c r="J23" s="364"/>
      <c r="K23" s="364"/>
      <c r="L23" s="364"/>
      <c r="M23" s="364"/>
      <c r="N23" s="364"/>
      <c r="O23" s="364"/>
      <c r="P23" s="364"/>
      <c r="Q23" s="364"/>
      <c r="R23" s="364"/>
      <c r="S23" s="364"/>
      <c r="T23" s="364"/>
      <c r="U23" s="364"/>
      <c r="V23" s="364"/>
      <c r="W23" s="364"/>
      <c r="X23" s="364"/>
      <c r="Y23" s="364"/>
      <c r="Z23" s="364"/>
      <c r="AA23" s="365"/>
      <c r="AB23" s="2"/>
      <c r="AC23" s="101"/>
    </row>
    <row r="24" spans="1:29" s="48" customFormat="1" x14ac:dyDescent="0.2">
      <c r="A24" s="100"/>
      <c r="B24" s="2"/>
      <c r="C24" s="49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50"/>
      <c r="AB24" s="2"/>
      <c r="AC24" s="101"/>
    </row>
    <row r="25" spans="1:29" s="58" customFormat="1" ht="15.75" x14ac:dyDescent="0.2">
      <c r="A25" s="102"/>
      <c r="B25" s="56"/>
      <c r="C25" s="55"/>
      <c r="D25" s="368" t="s">
        <v>8</v>
      </c>
      <c r="E25" s="369"/>
      <c r="F25" s="369"/>
      <c r="G25" s="369"/>
      <c r="H25" s="369"/>
      <c r="I25" s="370"/>
      <c r="J25" s="366" t="s">
        <v>18</v>
      </c>
      <c r="K25" s="367"/>
      <c r="L25" s="372" t="s">
        <v>4</v>
      </c>
      <c r="M25" s="373"/>
      <c r="N25" s="374"/>
      <c r="O25" s="56"/>
      <c r="P25" s="56"/>
      <c r="Q25" s="371" t="s">
        <v>54</v>
      </c>
      <c r="R25" s="371"/>
      <c r="S25" s="371"/>
      <c r="T25" s="371"/>
      <c r="U25" s="371"/>
      <c r="V25" s="371"/>
      <c r="W25" s="371"/>
      <c r="X25" s="371"/>
      <c r="Y25" s="371"/>
      <c r="Z25" s="371"/>
      <c r="AA25" s="57"/>
      <c r="AB25" s="56"/>
      <c r="AC25" s="103"/>
    </row>
    <row r="26" spans="1:29" s="48" customFormat="1" ht="15" x14ac:dyDescent="0.2">
      <c r="A26" s="100"/>
      <c r="B26" s="2"/>
      <c r="C26" s="49"/>
      <c r="D26" s="378" t="s">
        <v>27</v>
      </c>
      <c r="E26" s="379"/>
      <c r="F26" s="379"/>
      <c r="G26" s="379"/>
      <c r="H26" s="379"/>
      <c r="I26" s="380"/>
      <c r="J26" s="344" t="s">
        <v>32</v>
      </c>
      <c r="K26" s="345"/>
      <c r="L26" s="375">
        <v>29</v>
      </c>
      <c r="M26" s="376"/>
      <c r="N26" s="377"/>
      <c r="O26" s="2"/>
      <c r="P26" s="2"/>
      <c r="Q26" s="51" t="s">
        <v>9</v>
      </c>
      <c r="R26" s="52"/>
      <c r="S26" s="52"/>
      <c r="T26" s="52"/>
      <c r="U26" s="52"/>
      <c r="V26" s="52"/>
      <c r="W26" s="169" t="s">
        <v>96</v>
      </c>
      <c r="X26" s="5"/>
      <c r="Y26" s="5"/>
      <c r="Z26" s="38"/>
      <c r="AA26" s="50"/>
      <c r="AB26" s="2"/>
      <c r="AC26" s="101"/>
    </row>
    <row r="27" spans="1:29" s="48" customFormat="1" ht="15" x14ac:dyDescent="0.2">
      <c r="A27" s="100"/>
      <c r="B27" s="2"/>
      <c r="C27" s="49"/>
      <c r="D27" s="350" t="s">
        <v>31</v>
      </c>
      <c r="E27" s="351"/>
      <c r="F27" s="351"/>
      <c r="G27" s="351"/>
      <c r="H27" s="351"/>
      <c r="I27" s="352"/>
      <c r="J27" s="344" t="s">
        <v>34</v>
      </c>
      <c r="K27" s="345"/>
      <c r="L27" s="311">
        <v>30</v>
      </c>
      <c r="M27" s="312"/>
      <c r="N27" s="313"/>
      <c r="O27" s="2"/>
      <c r="P27" s="2"/>
      <c r="Q27" s="51" t="s">
        <v>10</v>
      </c>
      <c r="R27" s="52"/>
      <c r="S27" s="52"/>
      <c r="T27" s="5"/>
      <c r="U27" s="5"/>
      <c r="V27" s="5"/>
      <c r="W27" s="169" t="s">
        <v>90</v>
      </c>
      <c r="X27" s="5"/>
      <c r="Y27" s="5"/>
      <c r="Z27" s="38"/>
      <c r="AA27" s="50"/>
      <c r="AB27" s="2"/>
      <c r="AC27" s="101"/>
    </row>
    <row r="28" spans="1:29" s="48" customFormat="1" ht="15" x14ac:dyDescent="0.2">
      <c r="A28" s="100"/>
      <c r="B28" s="2"/>
      <c r="C28" s="49"/>
      <c r="D28" s="350" t="s">
        <v>26</v>
      </c>
      <c r="E28" s="351"/>
      <c r="F28" s="351"/>
      <c r="G28" s="351"/>
      <c r="H28" s="351"/>
      <c r="I28" s="352"/>
      <c r="J28" s="344" t="s">
        <v>33</v>
      </c>
      <c r="K28" s="345"/>
      <c r="L28" s="398">
        <v>1E-4</v>
      </c>
      <c r="M28" s="399"/>
      <c r="N28" s="400"/>
      <c r="O28" s="2"/>
      <c r="P28" s="2"/>
      <c r="Q28" s="51" t="s">
        <v>11</v>
      </c>
      <c r="R28" s="52"/>
      <c r="S28" s="52"/>
      <c r="T28" s="5"/>
      <c r="U28" s="5"/>
      <c r="V28" s="5"/>
      <c r="W28" s="169" t="s">
        <v>91</v>
      </c>
      <c r="X28" s="5"/>
      <c r="Y28" s="5"/>
      <c r="Z28" s="38"/>
      <c r="AA28" s="50"/>
      <c r="AB28" s="2"/>
      <c r="AC28" s="101"/>
    </row>
    <row r="29" spans="1:29" s="48" customFormat="1" ht="15" x14ac:dyDescent="0.2">
      <c r="A29" s="100"/>
      <c r="B29" s="2"/>
      <c r="C29" s="49"/>
      <c r="D29" s="350" t="s">
        <v>28</v>
      </c>
      <c r="E29" s="351"/>
      <c r="F29" s="351"/>
      <c r="G29" s="351"/>
      <c r="H29" s="351"/>
      <c r="I29" s="352"/>
      <c r="J29" s="344"/>
      <c r="K29" s="345"/>
      <c r="L29" s="401">
        <v>1</v>
      </c>
      <c r="M29" s="402"/>
      <c r="N29" s="403"/>
      <c r="O29" s="2"/>
      <c r="P29" s="2"/>
      <c r="Q29" s="51" t="s">
        <v>12</v>
      </c>
      <c r="R29" s="52"/>
      <c r="S29" s="52"/>
      <c r="T29" s="5"/>
      <c r="U29" s="5"/>
      <c r="V29" s="5"/>
      <c r="W29" s="169" t="s">
        <v>92</v>
      </c>
      <c r="X29" s="5"/>
      <c r="Y29" s="5"/>
      <c r="Z29" s="38"/>
      <c r="AA29" s="50"/>
      <c r="AB29" s="2"/>
      <c r="AC29" s="101"/>
    </row>
    <row r="30" spans="1:29" s="48" customFormat="1" ht="15" x14ac:dyDescent="0.2">
      <c r="A30" s="100"/>
      <c r="B30" s="2"/>
      <c r="C30" s="49"/>
      <c r="D30" s="350" t="s">
        <v>35</v>
      </c>
      <c r="E30" s="351"/>
      <c r="F30" s="351"/>
      <c r="G30" s="351"/>
      <c r="H30" s="351"/>
      <c r="I30" s="352"/>
      <c r="J30" s="344" t="s">
        <v>37</v>
      </c>
      <c r="K30" s="345"/>
      <c r="L30" s="404">
        <v>24</v>
      </c>
      <c r="M30" s="405"/>
      <c r="N30" s="406"/>
      <c r="O30" s="2"/>
      <c r="P30" s="2"/>
      <c r="Q30" s="51" t="s">
        <v>13</v>
      </c>
      <c r="R30" s="52"/>
      <c r="S30" s="52"/>
      <c r="T30" s="5"/>
      <c r="U30" s="5"/>
      <c r="V30" s="5"/>
      <c r="W30" s="169" t="s">
        <v>93</v>
      </c>
      <c r="X30" s="5"/>
      <c r="Y30" s="5"/>
      <c r="Z30" s="38"/>
      <c r="AA30" s="50"/>
      <c r="AB30" s="2"/>
      <c r="AC30" s="101"/>
    </row>
    <row r="31" spans="1:29" s="48" customFormat="1" ht="15" x14ac:dyDescent="0.2">
      <c r="A31" s="100"/>
      <c r="B31" s="2"/>
      <c r="C31" s="49"/>
      <c r="D31" s="350" t="s">
        <v>36</v>
      </c>
      <c r="E31" s="351"/>
      <c r="F31" s="351"/>
      <c r="G31" s="351"/>
      <c r="H31" s="351"/>
      <c r="I31" s="352"/>
      <c r="J31" s="344" t="s">
        <v>38</v>
      </c>
      <c r="K31" s="345"/>
      <c r="L31" s="404">
        <v>365</v>
      </c>
      <c r="M31" s="405"/>
      <c r="N31" s="406"/>
      <c r="O31" s="2"/>
      <c r="P31" s="2"/>
      <c r="Q31" s="51" t="s">
        <v>77</v>
      </c>
      <c r="R31" s="52"/>
      <c r="S31" s="52"/>
      <c r="T31" s="5"/>
      <c r="U31" s="5"/>
      <c r="V31" s="5"/>
      <c r="W31" s="170" t="s">
        <v>93</v>
      </c>
      <c r="X31" s="15"/>
      <c r="Y31" s="15"/>
      <c r="Z31" s="39"/>
      <c r="AA31" s="50"/>
      <c r="AB31" s="2"/>
      <c r="AC31" s="101"/>
    </row>
    <row r="32" spans="1:29" s="48" customFormat="1" ht="15" x14ac:dyDescent="0.2">
      <c r="A32" s="100"/>
      <c r="B32" s="2"/>
      <c r="C32" s="49"/>
      <c r="D32" s="350" t="s">
        <v>2</v>
      </c>
      <c r="E32" s="351"/>
      <c r="F32" s="351"/>
      <c r="G32" s="351"/>
      <c r="H32" s="351"/>
      <c r="I32" s="352"/>
      <c r="J32" s="344" t="s">
        <v>21</v>
      </c>
      <c r="K32" s="345"/>
      <c r="L32" s="356">
        <v>12</v>
      </c>
      <c r="M32" s="357"/>
      <c r="N32" s="358"/>
      <c r="O32" s="2"/>
      <c r="P32" s="2"/>
      <c r="Q32" s="51" t="s">
        <v>14</v>
      </c>
      <c r="R32" s="52"/>
      <c r="S32" s="52"/>
      <c r="T32" s="5"/>
      <c r="U32" s="5"/>
      <c r="V32" s="5"/>
      <c r="W32" s="169" t="s">
        <v>15</v>
      </c>
      <c r="X32" s="5"/>
      <c r="Y32" s="5"/>
      <c r="Z32" s="39"/>
      <c r="AA32" s="50"/>
      <c r="AB32" s="2"/>
      <c r="AC32" s="101"/>
    </row>
    <row r="33" spans="1:32" s="48" customFormat="1" ht="15" x14ac:dyDescent="0.2">
      <c r="A33" s="100"/>
      <c r="B33" s="2"/>
      <c r="C33" s="49"/>
      <c r="D33" s="350" t="s">
        <v>39</v>
      </c>
      <c r="E33" s="351"/>
      <c r="F33" s="351"/>
      <c r="G33" s="351"/>
      <c r="H33" s="351"/>
      <c r="I33" s="352"/>
      <c r="J33" s="344" t="s">
        <v>21</v>
      </c>
      <c r="K33" s="345"/>
      <c r="L33" s="356">
        <v>21</v>
      </c>
      <c r="M33" s="357"/>
      <c r="N33" s="358"/>
      <c r="O33" s="2"/>
      <c r="P33" s="2"/>
      <c r="Q33" s="51" t="s">
        <v>16</v>
      </c>
      <c r="R33" s="52"/>
      <c r="S33" s="52"/>
      <c r="T33" s="5"/>
      <c r="U33" s="5"/>
      <c r="V33" s="5"/>
      <c r="W33" s="169" t="s">
        <v>94</v>
      </c>
      <c r="X33" s="5"/>
      <c r="Y33" s="5"/>
      <c r="Z33" s="38"/>
      <c r="AA33" s="50"/>
      <c r="AB33" s="2"/>
      <c r="AC33" s="101"/>
    </row>
    <row r="34" spans="1:32" s="48" customFormat="1" ht="14.25" x14ac:dyDescent="0.2">
      <c r="A34" s="100"/>
      <c r="B34" s="2"/>
      <c r="C34" s="49"/>
      <c r="D34" s="350" t="s">
        <v>29</v>
      </c>
      <c r="E34" s="351"/>
      <c r="F34" s="351"/>
      <c r="G34" s="351"/>
      <c r="H34" s="351"/>
      <c r="I34" s="352"/>
      <c r="J34" s="344"/>
      <c r="K34" s="345"/>
      <c r="L34" s="356" t="s">
        <v>108</v>
      </c>
      <c r="M34" s="357"/>
      <c r="N34" s="358"/>
      <c r="O34" s="2"/>
      <c r="P34" s="2"/>
      <c r="Q34" s="40" t="s">
        <v>17</v>
      </c>
      <c r="R34" s="5"/>
      <c r="S34" s="5"/>
      <c r="T34" s="5"/>
      <c r="U34" s="5"/>
      <c r="V34" s="5"/>
      <c r="W34" s="169" t="s">
        <v>95</v>
      </c>
      <c r="X34" s="5"/>
      <c r="Y34" s="5"/>
      <c r="Z34" s="38"/>
      <c r="AA34" s="50"/>
      <c r="AB34" s="2"/>
      <c r="AC34" s="101"/>
    </row>
    <row r="35" spans="1:32" s="48" customFormat="1" ht="14.25" x14ac:dyDescent="0.2">
      <c r="A35" s="100"/>
      <c r="B35" s="2"/>
      <c r="C35" s="49"/>
      <c r="D35" s="359" t="s">
        <v>30</v>
      </c>
      <c r="E35" s="360"/>
      <c r="F35" s="360"/>
      <c r="G35" s="360"/>
      <c r="H35" s="360"/>
      <c r="I35" s="361"/>
      <c r="J35" s="344"/>
      <c r="K35" s="345"/>
      <c r="L35" s="356" t="s">
        <v>108</v>
      </c>
      <c r="M35" s="357"/>
      <c r="N35" s="358"/>
      <c r="O35" s="2"/>
      <c r="P35" s="2"/>
      <c r="Q35" s="41"/>
      <c r="R35" s="42"/>
      <c r="S35" s="42"/>
      <c r="T35" s="42"/>
      <c r="U35" s="42"/>
      <c r="V35" s="42"/>
      <c r="W35" s="42"/>
      <c r="X35" s="42"/>
      <c r="Y35" s="42"/>
      <c r="Z35" s="43"/>
      <c r="AA35" s="50"/>
      <c r="AB35" s="2"/>
      <c r="AC35" s="101"/>
    </row>
    <row r="36" spans="1:32" s="48" customFormat="1" x14ac:dyDescent="0.2">
      <c r="A36" s="100"/>
      <c r="B36" s="2"/>
      <c r="C36" s="49"/>
      <c r="D36" s="53"/>
      <c r="E36" s="53"/>
      <c r="F36" s="53"/>
      <c r="G36" s="53"/>
      <c r="H36" s="2"/>
      <c r="I36" s="6"/>
      <c r="J36" s="53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50"/>
      <c r="AB36" s="2"/>
      <c r="AC36" s="101"/>
    </row>
    <row r="37" spans="1:32" s="47" customFormat="1" ht="29.25" customHeight="1" x14ac:dyDescent="0.2">
      <c r="A37" s="104"/>
      <c r="B37" s="45"/>
      <c r="C37" s="44"/>
      <c r="D37" s="354" t="s">
        <v>40</v>
      </c>
      <c r="E37" s="355"/>
      <c r="F37" s="355"/>
      <c r="G37" s="355"/>
      <c r="H37" s="355"/>
      <c r="I37" s="355"/>
      <c r="J37" s="343" t="s">
        <v>18</v>
      </c>
      <c r="K37" s="343"/>
      <c r="L37" s="353" t="s">
        <v>19</v>
      </c>
      <c r="M37" s="353"/>
      <c r="N37" s="353"/>
      <c r="O37" s="348" t="s">
        <v>74</v>
      </c>
      <c r="P37" s="348"/>
      <c r="Q37" s="348"/>
      <c r="R37" s="348"/>
      <c r="S37" s="348" t="s">
        <v>75</v>
      </c>
      <c r="T37" s="348"/>
      <c r="U37" s="348"/>
      <c r="V37" s="348"/>
      <c r="W37" s="348"/>
      <c r="X37" s="348"/>
      <c r="Y37" s="348"/>
      <c r="Z37" s="348"/>
      <c r="AA37" s="46"/>
      <c r="AB37" s="45"/>
      <c r="AC37" s="105"/>
    </row>
    <row r="38" spans="1:32" s="48" customFormat="1" ht="15" customHeight="1" x14ac:dyDescent="0.2">
      <c r="A38" s="100"/>
      <c r="B38" s="2"/>
      <c r="C38" s="49"/>
      <c r="D38" s="290" t="s">
        <v>0</v>
      </c>
      <c r="E38" s="290"/>
      <c r="F38" s="290"/>
      <c r="G38" s="290"/>
      <c r="H38" s="290"/>
      <c r="I38" s="290"/>
      <c r="J38" s="346"/>
      <c r="K38" s="346"/>
      <c r="L38" s="349">
        <v>4</v>
      </c>
      <c r="M38" s="349"/>
      <c r="N38" s="349"/>
      <c r="O38" s="349">
        <v>5</v>
      </c>
      <c r="P38" s="349"/>
      <c r="Q38" s="349"/>
      <c r="R38" s="349"/>
      <c r="S38" s="407"/>
      <c r="T38" s="407"/>
      <c r="U38" s="407"/>
      <c r="V38" s="407"/>
      <c r="W38" s="407"/>
      <c r="X38" s="407"/>
      <c r="Y38" s="407"/>
      <c r="Z38" s="407"/>
      <c r="AA38" s="50"/>
      <c r="AB38" s="2"/>
      <c r="AC38" s="101"/>
    </row>
    <row r="39" spans="1:32" s="48" customFormat="1" ht="15" customHeight="1" x14ac:dyDescent="0.2">
      <c r="A39" s="100"/>
      <c r="B39" s="2"/>
      <c r="C39" s="49"/>
      <c r="D39" s="290" t="s">
        <v>26</v>
      </c>
      <c r="E39" s="290"/>
      <c r="F39" s="290"/>
      <c r="G39" s="290"/>
      <c r="H39" s="290"/>
      <c r="I39" s="290"/>
      <c r="J39" s="347" t="s">
        <v>34</v>
      </c>
      <c r="K39" s="347"/>
      <c r="L39" s="332">
        <f>L27*L28</f>
        <v>3.0000000000000001E-3</v>
      </c>
      <c r="M39" s="332"/>
      <c r="N39" s="332"/>
      <c r="O39" s="339">
        <f>L27*L28</f>
        <v>3.0000000000000001E-3</v>
      </c>
      <c r="P39" s="339"/>
      <c r="Q39" s="339"/>
      <c r="R39" s="339"/>
      <c r="S39" s="322"/>
      <c r="T39" s="322"/>
      <c r="U39" s="322"/>
      <c r="V39" s="322"/>
      <c r="W39" s="322"/>
      <c r="X39" s="322"/>
      <c r="Y39" s="322"/>
      <c r="Z39" s="322"/>
      <c r="AA39" s="50"/>
      <c r="AB39" s="2"/>
      <c r="AC39" s="101"/>
    </row>
    <row r="40" spans="1:32" s="48" customFormat="1" ht="15" customHeight="1" x14ac:dyDescent="0.2">
      <c r="A40" s="100"/>
      <c r="B40" s="2"/>
      <c r="C40" s="49"/>
      <c r="D40" s="290" t="s">
        <v>25</v>
      </c>
      <c r="E40" s="290"/>
      <c r="F40" s="290"/>
      <c r="G40" s="290"/>
      <c r="H40" s="290"/>
      <c r="I40" s="290"/>
      <c r="J40" s="347" t="s">
        <v>34</v>
      </c>
      <c r="K40" s="347"/>
      <c r="L40" s="333">
        <f>$L$26*$L$27*$L$29/1000</f>
        <v>0.87</v>
      </c>
      <c r="M40" s="333"/>
      <c r="N40" s="333"/>
      <c r="O40" s="340">
        <f>$L$26*$L$27*$L$29/1000</f>
        <v>0.87</v>
      </c>
      <c r="P40" s="340"/>
      <c r="Q40" s="340"/>
      <c r="R40" s="340"/>
      <c r="S40" s="322"/>
      <c r="T40" s="322"/>
      <c r="U40" s="322"/>
      <c r="V40" s="322"/>
      <c r="W40" s="322"/>
      <c r="X40" s="322"/>
      <c r="Y40" s="322"/>
      <c r="Z40" s="322"/>
      <c r="AA40" s="50"/>
      <c r="AB40" s="2"/>
      <c r="AC40" s="101"/>
    </row>
    <row r="41" spans="1:32" s="48" customFormat="1" ht="15" customHeight="1" x14ac:dyDescent="0.2">
      <c r="A41" s="100"/>
      <c r="B41" s="2"/>
      <c r="C41" s="49"/>
      <c r="D41" s="290" t="s">
        <v>20</v>
      </c>
      <c r="E41" s="290"/>
      <c r="F41" s="290"/>
      <c r="G41" s="290"/>
      <c r="H41" s="290"/>
      <c r="I41" s="290"/>
      <c r="J41" s="328" t="s">
        <v>22</v>
      </c>
      <c r="K41" s="328"/>
      <c r="L41" s="334">
        <f>((L38*L40)/(L38-1))*60*L30</f>
        <v>1670.3999999999999</v>
      </c>
      <c r="M41" s="334"/>
      <c r="N41" s="334"/>
      <c r="O41" s="340">
        <f>((O38*L40)/(O38-1))*60*L30</f>
        <v>1566</v>
      </c>
      <c r="P41" s="340"/>
      <c r="Q41" s="340"/>
      <c r="R41" s="340"/>
      <c r="S41" s="322"/>
      <c r="T41" s="322"/>
      <c r="U41" s="322"/>
      <c r="V41" s="322"/>
      <c r="W41" s="322"/>
      <c r="X41" s="322"/>
      <c r="Y41" s="322"/>
      <c r="Z41" s="322"/>
      <c r="AA41" s="50"/>
      <c r="AB41" s="2"/>
      <c r="AC41" s="101"/>
    </row>
    <row r="42" spans="1:32" s="48" customFormat="1" ht="15" customHeight="1" x14ac:dyDescent="0.2">
      <c r="A42" s="100"/>
      <c r="B42" s="2"/>
      <c r="C42" s="49"/>
      <c r="D42" s="290" t="s">
        <v>1</v>
      </c>
      <c r="E42" s="290"/>
      <c r="F42" s="290"/>
      <c r="G42" s="290"/>
      <c r="H42" s="290"/>
      <c r="I42" s="290"/>
      <c r="J42" s="328" t="s">
        <v>22</v>
      </c>
      <c r="K42" s="328"/>
      <c r="L42" s="392">
        <f>(L40/(L38-1))*60*L30</f>
        <v>417.59999999999997</v>
      </c>
      <c r="M42" s="392"/>
      <c r="N42" s="392"/>
      <c r="O42" s="340">
        <f>(O40/(O38-1))*60*L30</f>
        <v>313.20000000000005</v>
      </c>
      <c r="P42" s="340"/>
      <c r="Q42" s="340"/>
      <c r="R42" s="340"/>
      <c r="S42" s="322"/>
      <c r="T42" s="322"/>
      <c r="U42" s="322"/>
      <c r="V42" s="322"/>
      <c r="W42" s="322"/>
      <c r="X42" s="322"/>
      <c r="Y42" s="322"/>
      <c r="Z42" s="322"/>
      <c r="AA42" s="50"/>
      <c r="AB42" s="2"/>
      <c r="AC42" s="101"/>
    </row>
    <row r="43" spans="1:32" s="48" customFormat="1" ht="14.25" x14ac:dyDescent="0.2">
      <c r="A43" s="100"/>
      <c r="B43" s="2"/>
      <c r="C43" s="49"/>
      <c r="D43" s="290"/>
      <c r="E43" s="317"/>
      <c r="F43" s="317"/>
      <c r="G43" s="317"/>
      <c r="H43" s="317"/>
      <c r="I43" s="317"/>
      <c r="J43" s="325"/>
      <c r="K43" s="325"/>
      <c r="L43" s="393"/>
      <c r="M43" s="393"/>
      <c r="N43" s="393"/>
      <c r="O43" s="341"/>
      <c r="P43" s="341"/>
      <c r="Q43" s="341"/>
      <c r="R43" s="341"/>
      <c r="S43" s="322"/>
      <c r="T43" s="322"/>
      <c r="U43" s="322"/>
      <c r="V43" s="322"/>
      <c r="W43" s="322"/>
      <c r="X43" s="322"/>
      <c r="Y43" s="322"/>
      <c r="Z43" s="322"/>
      <c r="AA43" s="50"/>
      <c r="AB43" s="66"/>
      <c r="AC43" s="101"/>
    </row>
    <row r="44" spans="1:32" s="48" customFormat="1" ht="15" customHeight="1" x14ac:dyDescent="0.2">
      <c r="A44" s="100"/>
      <c r="B44" s="2"/>
      <c r="C44" s="49"/>
      <c r="D44" s="324" t="s">
        <v>76</v>
      </c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4"/>
      <c r="S44" s="323"/>
      <c r="T44" s="323"/>
      <c r="U44" s="323"/>
      <c r="V44" s="323"/>
      <c r="W44" s="323"/>
      <c r="X44" s="323"/>
      <c r="Y44" s="323"/>
      <c r="Z44" s="323"/>
      <c r="AA44" s="50"/>
      <c r="AB44" s="66"/>
      <c r="AC44" s="101"/>
    </row>
    <row r="45" spans="1:32" s="48" customFormat="1" ht="15" customHeight="1" x14ac:dyDescent="0.2">
      <c r="A45" s="100"/>
      <c r="B45" s="2"/>
      <c r="C45" s="49"/>
      <c r="D45" s="290" t="s">
        <v>46</v>
      </c>
      <c r="E45" s="290"/>
      <c r="F45" s="290"/>
      <c r="G45" s="290"/>
      <c r="H45" s="290"/>
      <c r="I45" s="290"/>
      <c r="J45" s="328" t="s">
        <v>41</v>
      </c>
      <c r="K45" s="328"/>
      <c r="L45" s="342">
        <f>L41*L31</f>
        <v>609696</v>
      </c>
      <c r="M45" s="342"/>
      <c r="N45" s="342"/>
      <c r="O45" s="318">
        <f>O41*L31</f>
        <v>571590</v>
      </c>
      <c r="P45" s="318"/>
      <c r="Q45" s="318"/>
      <c r="R45" s="318"/>
      <c r="S45" s="326">
        <f>L45-O45</f>
        <v>38106</v>
      </c>
      <c r="T45" s="326"/>
      <c r="U45" s="326"/>
      <c r="V45" s="326"/>
      <c r="W45" s="326"/>
      <c r="X45" s="326"/>
      <c r="Y45" s="326"/>
      <c r="Z45" s="326"/>
      <c r="AA45" s="50"/>
      <c r="AB45" s="67">
        <f>S45/L45</f>
        <v>6.25E-2</v>
      </c>
      <c r="AC45" s="101"/>
    </row>
    <row r="46" spans="1:32" s="48" customFormat="1" ht="15" customHeight="1" x14ac:dyDescent="0.2">
      <c r="A46" s="100"/>
      <c r="B46" s="2"/>
      <c r="C46" s="49"/>
      <c r="D46" s="290" t="s">
        <v>47</v>
      </c>
      <c r="E46" s="290"/>
      <c r="F46" s="290"/>
      <c r="G46" s="290"/>
      <c r="H46" s="290"/>
      <c r="I46" s="290"/>
      <c r="J46" s="328" t="s">
        <v>41</v>
      </c>
      <c r="K46" s="328"/>
      <c r="L46" s="342">
        <f>L42*L31</f>
        <v>152424</v>
      </c>
      <c r="M46" s="342"/>
      <c r="N46" s="342"/>
      <c r="O46" s="319">
        <f>L31*O42</f>
        <v>114318.00000000001</v>
      </c>
      <c r="P46" s="319"/>
      <c r="Q46" s="319"/>
      <c r="R46" s="319"/>
      <c r="S46" s="326">
        <f>L46-O46</f>
        <v>38105.999999999985</v>
      </c>
      <c r="T46" s="326"/>
      <c r="U46" s="326"/>
      <c r="V46" s="326"/>
      <c r="W46" s="326"/>
      <c r="X46" s="326"/>
      <c r="Y46" s="326"/>
      <c r="Z46" s="326"/>
      <c r="AA46" s="50"/>
      <c r="AB46" s="67">
        <f>S46/L46</f>
        <v>0.24999999999999992</v>
      </c>
      <c r="AC46" s="101"/>
    </row>
    <row r="47" spans="1:32" s="48" customFormat="1" x14ac:dyDescent="0.2">
      <c r="A47" s="100"/>
      <c r="B47" s="2"/>
      <c r="C47" s="49"/>
      <c r="D47" s="336"/>
      <c r="E47" s="337"/>
      <c r="F47" s="337"/>
      <c r="G47" s="337"/>
      <c r="H47" s="337"/>
      <c r="I47" s="337"/>
      <c r="J47" s="337"/>
      <c r="K47" s="337"/>
      <c r="L47" s="337"/>
      <c r="M47" s="337"/>
      <c r="N47" s="337"/>
      <c r="O47" s="337"/>
      <c r="P47" s="337"/>
      <c r="Q47" s="337"/>
      <c r="R47" s="337"/>
      <c r="S47" s="337"/>
      <c r="T47" s="337"/>
      <c r="U47" s="337"/>
      <c r="V47" s="337"/>
      <c r="W47" s="337"/>
      <c r="X47" s="337"/>
      <c r="Y47" s="337"/>
      <c r="Z47" s="338"/>
      <c r="AA47" s="50"/>
      <c r="AB47" s="66"/>
      <c r="AC47" s="101"/>
    </row>
    <row r="48" spans="1:32" s="48" customFormat="1" ht="15" x14ac:dyDescent="0.2">
      <c r="A48" s="100"/>
      <c r="B48" s="2"/>
      <c r="C48" s="49"/>
      <c r="D48" s="335" t="s">
        <v>42</v>
      </c>
      <c r="E48" s="335"/>
      <c r="F48" s="335"/>
      <c r="G48" s="335"/>
      <c r="H48" s="335"/>
      <c r="I48" s="335"/>
      <c r="J48" s="335"/>
      <c r="K48" s="335"/>
      <c r="L48" s="335"/>
      <c r="M48" s="335"/>
      <c r="N48" s="335"/>
      <c r="O48" s="335"/>
      <c r="P48" s="335"/>
      <c r="Q48" s="335"/>
      <c r="R48" s="335"/>
      <c r="S48" s="335"/>
      <c r="T48" s="335"/>
      <c r="U48" s="335"/>
      <c r="V48" s="335"/>
      <c r="W48" s="335"/>
      <c r="X48" s="335"/>
      <c r="Y48" s="335"/>
      <c r="Z48" s="335"/>
      <c r="AA48" s="50"/>
      <c r="AB48" s="66"/>
      <c r="AC48" s="101"/>
      <c r="AF48" s="54"/>
    </row>
    <row r="49" spans="1:32" s="48" customFormat="1" ht="15" customHeight="1" x14ac:dyDescent="0.2">
      <c r="A49" s="100"/>
      <c r="B49" s="2"/>
      <c r="C49" s="49"/>
      <c r="D49" s="290" t="s">
        <v>2</v>
      </c>
      <c r="E49" s="290"/>
      <c r="F49" s="290"/>
      <c r="G49" s="290"/>
      <c r="H49" s="290"/>
      <c r="I49" s="290"/>
      <c r="J49" s="294" t="s">
        <v>23</v>
      </c>
      <c r="K49" s="294"/>
      <c r="L49" s="287">
        <f>(L32*L41*L31)/10^3</f>
        <v>7316.3519999999999</v>
      </c>
      <c r="M49" s="288"/>
      <c r="N49" s="289"/>
      <c r="O49" s="320">
        <f>L32*O41*L31/10^3</f>
        <v>6859.08</v>
      </c>
      <c r="P49" s="320"/>
      <c r="Q49" s="320"/>
      <c r="R49" s="320"/>
      <c r="S49" s="320">
        <f>L49-O49</f>
        <v>457.27199999999993</v>
      </c>
      <c r="T49" s="320"/>
      <c r="U49" s="320"/>
      <c r="V49" s="320"/>
      <c r="W49" s="320"/>
      <c r="X49" s="320"/>
      <c r="Y49" s="320"/>
      <c r="Z49" s="320"/>
      <c r="AA49" s="50"/>
      <c r="AB49" s="68">
        <f>S49/S51</f>
        <v>0.36363636363636381</v>
      </c>
      <c r="AC49" s="101"/>
      <c r="AF49" s="54"/>
    </row>
    <row r="50" spans="1:32" s="48" customFormat="1" ht="15" customHeight="1" x14ac:dyDescent="0.2">
      <c r="A50" s="100"/>
      <c r="B50" s="2"/>
      <c r="C50" s="49"/>
      <c r="D50" s="290" t="s">
        <v>3</v>
      </c>
      <c r="E50" s="290"/>
      <c r="F50" s="290"/>
      <c r="G50" s="290"/>
      <c r="H50" s="290"/>
      <c r="I50" s="290"/>
      <c r="J50" s="294" t="s">
        <v>23</v>
      </c>
      <c r="K50" s="294"/>
      <c r="L50" s="287">
        <f>L33*L42*L31/10^3</f>
        <v>3200.9039999999995</v>
      </c>
      <c r="M50" s="288"/>
      <c r="N50" s="289"/>
      <c r="O50" s="321">
        <f>L33*O42*L31/10^3</f>
        <v>2400.6780000000003</v>
      </c>
      <c r="P50" s="321"/>
      <c r="Q50" s="321"/>
      <c r="R50" s="321"/>
      <c r="S50" s="320">
        <f>L50-O50</f>
        <v>800.2259999999992</v>
      </c>
      <c r="T50" s="320"/>
      <c r="U50" s="320"/>
      <c r="V50" s="320"/>
      <c r="W50" s="320"/>
      <c r="X50" s="320"/>
      <c r="Y50" s="320"/>
      <c r="Z50" s="320"/>
      <c r="AA50" s="50"/>
      <c r="AB50" s="68">
        <f>S50/S51</f>
        <v>0.63636363636363613</v>
      </c>
      <c r="AC50" s="101"/>
    </row>
    <row r="51" spans="1:32" s="48" customFormat="1" ht="15.75" thickBot="1" x14ac:dyDescent="0.25">
      <c r="A51" s="100"/>
      <c r="B51" s="2"/>
      <c r="C51" s="49"/>
      <c r="D51" s="291" t="s">
        <v>73</v>
      </c>
      <c r="E51" s="292"/>
      <c r="F51" s="292"/>
      <c r="G51" s="292"/>
      <c r="H51" s="292"/>
      <c r="I51" s="293"/>
      <c r="J51" s="295" t="s">
        <v>23</v>
      </c>
      <c r="K51" s="295"/>
      <c r="L51" s="296"/>
      <c r="M51" s="297"/>
      <c r="N51" s="297"/>
      <c r="O51" s="297"/>
      <c r="P51" s="297"/>
      <c r="Q51" s="297"/>
      <c r="R51" s="298"/>
      <c r="S51" s="327">
        <f>SUM(S49:Z50)</f>
        <v>1257.4979999999991</v>
      </c>
      <c r="T51" s="327"/>
      <c r="U51" s="327"/>
      <c r="V51" s="327"/>
      <c r="W51" s="327"/>
      <c r="X51" s="327"/>
      <c r="Y51" s="327"/>
      <c r="Z51" s="327"/>
      <c r="AA51" s="50"/>
      <c r="AB51" s="68"/>
      <c r="AC51" s="101"/>
    </row>
    <row r="52" spans="1:32" s="48" customFormat="1" ht="13.5" thickTop="1" x14ac:dyDescent="0.2">
      <c r="A52" s="100"/>
      <c r="B52" s="2"/>
      <c r="C52" s="49"/>
      <c r="D52" s="59"/>
      <c r="E52" s="59"/>
      <c r="F52" s="59"/>
      <c r="G52" s="59"/>
      <c r="H52" s="60"/>
      <c r="I52" s="60"/>
      <c r="J52" s="60"/>
      <c r="K52" s="60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2"/>
      <c r="AA52" s="50"/>
      <c r="AB52" s="66"/>
      <c r="AC52" s="101"/>
    </row>
    <row r="53" spans="1:32" s="48" customFormat="1" ht="15.75" x14ac:dyDescent="0.2">
      <c r="A53" s="100"/>
      <c r="B53" s="2"/>
      <c r="C53" s="49"/>
      <c r="D53" s="368" t="s">
        <v>63</v>
      </c>
      <c r="E53" s="369"/>
      <c r="F53" s="369"/>
      <c r="G53" s="369"/>
      <c r="H53" s="369"/>
      <c r="I53" s="370"/>
      <c r="J53" s="329" t="s">
        <v>18</v>
      </c>
      <c r="K53" s="330"/>
      <c r="L53" s="329" t="s">
        <v>70</v>
      </c>
      <c r="M53" s="331"/>
      <c r="N53" s="330"/>
      <c r="O53" s="329" t="s">
        <v>71</v>
      </c>
      <c r="P53" s="331"/>
      <c r="Q53" s="331"/>
      <c r="R53" s="330"/>
      <c r="S53" s="331" t="s">
        <v>64</v>
      </c>
      <c r="T53" s="331"/>
      <c r="U53" s="331"/>
      <c r="V53" s="331"/>
      <c r="W53" s="331"/>
      <c r="X53" s="331"/>
      <c r="Y53" s="331"/>
      <c r="Z53" s="330"/>
      <c r="AA53" s="50"/>
      <c r="AB53" s="66"/>
      <c r="AC53" s="101"/>
    </row>
    <row r="54" spans="1:32" s="48" customFormat="1" ht="15" x14ac:dyDescent="0.2">
      <c r="A54" s="100"/>
      <c r="B54" s="2"/>
      <c r="C54" s="49"/>
      <c r="D54" s="305" t="s">
        <v>65</v>
      </c>
      <c r="E54" s="306"/>
      <c r="F54" s="306"/>
      <c r="G54" s="306"/>
      <c r="H54" s="306"/>
      <c r="I54" s="307"/>
      <c r="J54" s="308" t="s">
        <v>23</v>
      </c>
      <c r="K54" s="309"/>
      <c r="L54" s="299">
        <v>18000</v>
      </c>
      <c r="M54" s="300"/>
      <c r="N54" s="301"/>
      <c r="O54" s="299">
        <v>16000</v>
      </c>
      <c r="P54" s="300"/>
      <c r="Q54" s="300"/>
      <c r="R54" s="301"/>
      <c r="S54" s="314">
        <f>L54-O54</f>
        <v>2000</v>
      </c>
      <c r="T54" s="315"/>
      <c r="U54" s="315"/>
      <c r="V54" s="315"/>
      <c r="W54" s="315"/>
      <c r="X54" s="315"/>
      <c r="Y54" s="315"/>
      <c r="Z54" s="316"/>
      <c r="AA54" s="50"/>
      <c r="AB54" s="66"/>
      <c r="AC54" s="101"/>
    </row>
    <row r="55" spans="1:32" s="48" customFormat="1" ht="15" x14ac:dyDescent="0.2">
      <c r="A55" s="100"/>
      <c r="B55" s="2"/>
      <c r="C55" s="49"/>
      <c r="D55" s="310" t="s">
        <v>66</v>
      </c>
      <c r="E55" s="310"/>
      <c r="F55" s="310"/>
      <c r="G55" s="310"/>
      <c r="H55" s="310"/>
      <c r="I55" s="310"/>
      <c r="J55" s="308" t="s">
        <v>23</v>
      </c>
      <c r="K55" s="309"/>
      <c r="L55" s="299">
        <v>2000</v>
      </c>
      <c r="M55" s="300"/>
      <c r="N55" s="301"/>
      <c r="O55" s="299">
        <v>1000</v>
      </c>
      <c r="P55" s="300"/>
      <c r="Q55" s="300"/>
      <c r="R55" s="301"/>
      <c r="S55" s="314">
        <f t="shared" ref="S55:S58" si="0">L55-O55</f>
        <v>1000</v>
      </c>
      <c r="T55" s="315"/>
      <c r="U55" s="315"/>
      <c r="V55" s="315"/>
      <c r="W55" s="315"/>
      <c r="X55" s="315"/>
      <c r="Y55" s="315"/>
      <c r="Z55" s="316"/>
      <c r="AA55" s="50"/>
      <c r="AB55" s="66"/>
      <c r="AC55" s="101"/>
    </row>
    <row r="56" spans="1:32" s="48" customFormat="1" ht="15" x14ac:dyDescent="0.2">
      <c r="A56" s="100"/>
      <c r="B56" s="2"/>
      <c r="C56" s="49"/>
      <c r="D56" s="310" t="s">
        <v>67</v>
      </c>
      <c r="E56" s="310"/>
      <c r="F56" s="310"/>
      <c r="G56" s="310"/>
      <c r="H56" s="310"/>
      <c r="I56" s="310"/>
      <c r="J56" s="308" t="s">
        <v>23</v>
      </c>
      <c r="K56" s="309"/>
      <c r="L56" s="299">
        <v>1000</v>
      </c>
      <c r="M56" s="300"/>
      <c r="N56" s="301"/>
      <c r="O56" s="299">
        <v>500</v>
      </c>
      <c r="P56" s="300"/>
      <c r="Q56" s="300"/>
      <c r="R56" s="301"/>
      <c r="S56" s="314">
        <f t="shared" si="0"/>
        <v>500</v>
      </c>
      <c r="T56" s="315"/>
      <c r="U56" s="315"/>
      <c r="V56" s="315"/>
      <c r="W56" s="315"/>
      <c r="X56" s="315"/>
      <c r="Y56" s="315"/>
      <c r="Z56" s="316"/>
      <c r="AA56" s="50"/>
      <c r="AB56" s="66"/>
      <c r="AC56" s="101"/>
    </row>
    <row r="57" spans="1:32" s="48" customFormat="1" ht="15" x14ac:dyDescent="0.2">
      <c r="A57" s="100"/>
      <c r="B57" s="2"/>
      <c r="C57" s="49"/>
      <c r="D57" s="310" t="s">
        <v>68</v>
      </c>
      <c r="E57" s="310"/>
      <c r="F57" s="310"/>
      <c r="G57" s="310"/>
      <c r="H57" s="310"/>
      <c r="I57" s="310"/>
      <c r="J57" s="308" t="s">
        <v>23</v>
      </c>
      <c r="K57" s="309"/>
      <c r="L57" s="299">
        <v>0</v>
      </c>
      <c r="M57" s="300"/>
      <c r="N57" s="301"/>
      <c r="O57" s="299">
        <v>0</v>
      </c>
      <c r="P57" s="300"/>
      <c r="Q57" s="300"/>
      <c r="R57" s="301"/>
      <c r="S57" s="314">
        <f t="shared" si="0"/>
        <v>0</v>
      </c>
      <c r="T57" s="315"/>
      <c r="U57" s="315"/>
      <c r="V57" s="315"/>
      <c r="W57" s="315"/>
      <c r="X57" s="315"/>
      <c r="Y57" s="315"/>
      <c r="Z57" s="316"/>
      <c r="AA57" s="50"/>
      <c r="AB57" s="66"/>
      <c r="AC57" s="101"/>
    </row>
    <row r="58" spans="1:32" s="48" customFormat="1" ht="15" x14ac:dyDescent="0.2">
      <c r="A58" s="100"/>
      <c r="B58" s="2"/>
      <c r="C58" s="49"/>
      <c r="D58" s="310" t="s">
        <v>69</v>
      </c>
      <c r="E58" s="310"/>
      <c r="F58" s="310"/>
      <c r="G58" s="310"/>
      <c r="H58" s="310"/>
      <c r="I58" s="310"/>
      <c r="J58" s="308" t="s">
        <v>23</v>
      </c>
      <c r="K58" s="309"/>
      <c r="L58" s="299">
        <v>2000</v>
      </c>
      <c r="M58" s="300"/>
      <c r="N58" s="301"/>
      <c r="O58" s="299">
        <v>1000</v>
      </c>
      <c r="P58" s="300"/>
      <c r="Q58" s="300"/>
      <c r="R58" s="301"/>
      <c r="S58" s="314">
        <f t="shared" si="0"/>
        <v>1000</v>
      </c>
      <c r="T58" s="315"/>
      <c r="U58" s="315"/>
      <c r="V58" s="315"/>
      <c r="W58" s="315"/>
      <c r="X58" s="315"/>
      <c r="Y58" s="315"/>
      <c r="Z58" s="316"/>
      <c r="AA58" s="50"/>
      <c r="AB58" s="66"/>
      <c r="AC58" s="101"/>
    </row>
    <row r="59" spans="1:32" s="48" customFormat="1" ht="16.5" thickBot="1" x14ac:dyDescent="0.25">
      <c r="A59" s="100"/>
      <c r="B59" s="2"/>
      <c r="C59" s="49"/>
      <c r="D59" s="386" t="s">
        <v>72</v>
      </c>
      <c r="E59" s="387"/>
      <c r="F59" s="387"/>
      <c r="G59" s="387"/>
      <c r="H59" s="387"/>
      <c r="I59" s="388"/>
      <c r="J59" s="77"/>
      <c r="K59" s="77"/>
      <c r="L59" s="389">
        <f>SUM(L54:N58)</f>
        <v>23000</v>
      </c>
      <c r="M59" s="390"/>
      <c r="N59" s="391"/>
      <c r="O59" s="389">
        <f>SUM(O54:R58)</f>
        <v>18500</v>
      </c>
      <c r="P59" s="390"/>
      <c r="Q59" s="390"/>
      <c r="R59" s="391"/>
      <c r="S59" s="389">
        <f>SUM(S54:Z58)</f>
        <v>4500</v>
      </c>
      <c r="T59" s="390"/>
      <c r="U59" s="390"/>
      <c r="V59" s="390"/>
      <c r="W59" s="390"/>
      <c r="X59" s="390"/>
      <c r="Y59" s="390"/>
      <c r="Z59" s="391"/>
      <c r="AA59" s="50"/>
      <c r="AB59" s="67">
        <f>S59/L59</f>
        <v>0.19565217391304349</v>
      </c>
      <c r="AC59" s="101"/>
    </row>
    <row r="60" spans="1:32" s="48" customFormat="1" ht="13.5" thickTop="1" x14ac:dyDescent="0.2">
      <c r="A60" s="100"/>
      <c r="B60" s="2"/>
      <c r="C60" s="49"/>
      <c r="D60" s="59"/>
      <c r="E60" s="59"/>
      <c r="F60" s="59"/>
      <c r="G60" s="59"/>
      <c r="H60" s="60"/>
      <c r="I60" s="60"/>
      <c r="J60" s="60"/>
      <c r="K60" s="60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2"/>
      <c r="AA60" s="50"/>
      <c r="AB60" s="66"/>
      <c r="AC60" s="101"/>
    </row>
    <row r="61" spans="1:32" s="48" customFormat="1" ht="30" customHeight="1" x14ac:dyDescent="0.2">
      <c r="A61" s="100"/>
      <c r="B61" s="2"/>
      <c r="C61" s="49"/>
      <c r="D61" s="302"/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303"/>
      <c r="Y61" s="303"/>
      <c r="Z61" s="304"/>
      <c r="AA61" s="50"/>
      <c r="AB61" s="66"/>
      <c r="AC61" s="101"/>
    </row>
    <row r="62" spans="1:32" s="48" customFormat="1" ht="15" customHeight="1" x14ac:dyDescent="0.2">
      <c r="A62" s="100"/>
      <c r="B62" s="2"/>
      <c r="C62" s="49"/>
      <c r="D62" s="282" t="s">
        <v>43</v>
      </c>
      <c r="E62" s="283"/>
      <c r="F62" s="283"/>
      <c r="G62" s="283"/>
      <c r="H62" s="283"/>
      <c r="I62" s="284"/>
      <c r="J62" s="279" t="s">
        <v>48</v>
      </c>
      <c r="K62" s="280"/>
      <c r="L62" s="86"/>
      <c r="M62" s="87"/>
      <c r="N62" s="87"/>
      <c r="O62" s="87"/>
      <c r="P62" s="87"/>
      <c r="Q62" s="87"/>
      <c r="R62" s="87"/>
      <c r="S62" s="278">
        <f>S45</f>
        <v>38106</v>
      </c>
      <c r="T62" s="278"/>
      <c r="U62" s="278"/>
      <c r="V62" s="278"/>
      <c r="W62" s="278"/>
      <c r="X62" s="278"/>
      <c r="Y62" s="278"/>
      <c r="Z62" s="278"/>
      <c r="AA62" s="50"/>
      <c r="AB62" s="2"/>
      <c r="AC62" s="101"/>
    </row>
    <row r="63" spans="1:32" s="48" customFormat="1" ht="15" customHeight="1" x14ac:dyDescent="0.2">
      <c r="A63" s="100"/>
      <c r="B63" s="2"/>
      <c r="C63" s="49"/>
      <c r="D63" s="282" t="s">
        <v>44</v>
      </c>
      <c r="E63" s="285"/>
      <c r="F63" s="285"/>
      <c r="G63" s="285"/>
      <c r="H63" s="285"/>
      <c r="I63" s="286"/>
      <c r="J63" s="279" t="s">
        <v>48</v>
      </c>
      <c r="K63" s="280"/>
      <c r="L63" s="88"/>
      <c r="M63" s="89"/>
      <c r="N63" s="89"/>
      <c r="O63" s="89"/>
      <c r="P63" s="89"/>
      <c r="Q63" s="89"/>
      <c r="R63" s="89"/>
      <c r="S63" s="278">
        <f>S46</f>
        <v>38105.999999999985</v>
      </c>
      <c r="T63" s="278"/>
      <c r="U63" s="278"/>
      <c r="V63" s="278"/>
      <c r="W63" s="278"/>
      <c r="X63" s="278"/>
      <c r="Y63" s="278"/>
      <c r="Z63" s="278"/>
      <c r="AA63" s="50"/>
      <c r="AB63" s="2"/>
      <c r="AC63" s="101"/>
    </row>
    <row r="64" spans="1:32" x14ac:dyDescent="0.2">
      <c r="A64" s="94"/>
      <c r="B64" s="1"/>
      <c r="C64" s="3"/>
      <c r="D64" s="1"/>
      <c r="E64" s="2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4"/>
      <c r="AB64" s="1"/>
      <c r="AC64" s="95"/>
    </row>
    <row r="65" spans="1:29" ht="15.75" x14ac:dyDescent="0.25">
      <c r="A65" s="94"/>
      <c r="B65" s="1"/>
      <c r="C65" s="3"/>
      <c r="D65" s="281" t="s">
        <v>55</v>
      </c>
      <c r="E65" s="281"/>
      <c r="F65" s="281"/>
      <c r="G65" s="281"/>
      <c r="H65" s="281"/>
      <c r="I65" s="281"/>
      <c r="J65" s="281"/>
      <c r="K65" s="281"/>
      <c r="L65" s="281"/>
      <c r="M65" s="281"/>
      <c r="N65" s="281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4"/>
      <c r="AB65" s="1"/>
      <c r="AC65" s="95"/>
    </row>
    <row r="66" spans="1:29" x14ac:dyDescent="0.2">
      <c r="A66" s="94"/>
      <c r="B66" s="1"/>
      <c r="C66" s="3"/>
      <c r="D66" s="1"/>
      <c r="E66" s="79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1"/>
      <c r="AB66" s="1"/>
      <c r="AC66" s="95"/>
    </row>
    <row r="67" spans="1:29" s="65" customFormat="1" x14ac:dyDescent="0.2">
      <c r="A67" s="106"/>
      <c r="B67" s="64"/>
      <c r="C67" s="63"/>
      <c r="D67" s="64"/>
      <c r="E67" s="82"/>
      <c r="F67" s="82"/>
      <c r="G67" s="82" t="str">
        <f>FIXED(L40*60*L30*L31,0)&amp;" gal/yr"</f>
        <v>457,272 gal/yr</v>
      </c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 t="str">
        <f>FIXED(O40*60*L30*L31,0)&amp;" gal/yr"</f>
        <v>457,272 gal/yr</v>
      </c>
      <c r="T67" s="82"/>
      <c r="U67" s="82"/>
      <c r="V67" s="82"/>
      <c r="W67" s="82"/>
      <c r="X67" s="82"/>
      <c r="Y67" s="82"/>
      <c r="Z67" s="82"/>
      <c r="AA67" s="83"/>
      <c r="AB67" s="64"/>
      <c r="AC67" s="107"/>
    </row>
    <row r="68" spans="1:29" s="65" customFormat="1" x14ac:dyDescent="0.2">
      <c r="A68" s="106"/>
      <c r="B68" s="64"/>
      <c r="C68" s="63"/>
      <c r="D68" s="64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3"/>
      <c r="AB68" s="64"/>
      <c r="AC68" s="107"/>
    </row>
    <row r="69" spans="1:29" s="65" customFormat="1" x14ac:dyDescent="0.2">
      <c r="A69" s="106"/>
      <c r="B69" s="64"/>
      <c r="C69" s="63"/>
      <c r="D69" s="64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3"/>
      <c r="AB69" s="64"/>
      <c r="AC69" s="107"/>
    </row>
    <row r="70" spans="1:29" s="65" customFormat="1" x14ac:dyDescent="0.2">
      <c r="A70" s="106"/>
      <c r="B70" s="64"/>
      <c r="C70" s="63"/>
      <c r="D70" s="64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3"/>
      <c r="AB70" s="64"/>
      <c r="AC70" s="107"/>
    </row>
    <row r="71" spans="1:29" s="65" customFormat="1" x14ac:dyDescent="0.2">
      <c r="A71" s="106"/>
      <c r="B71" s="64"/>
      <c r="C71" s="63"/>
      <c r="D71" s="64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3"/>
      <c r="AB71" s="64"/>
      <c r="AC71" s="107"/>
    </row>
    <row r="72" spans="1:29" s="65" customFormat="1" x14ac:dyDescent="0.2">
      <c r="A72" s="106"/>
      <c r="B72" s="64"/>
      <c r="C72" s="63"/>
      <c r="D72" s="64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3"/>
      <c r="AB72" s="64"/>
      <c r="AC72" s="107"/>
    </row>
    <row r="73" spans="1:29" s="65" customFormat="1" x14ac:dyDescent="0.2">
      <c r="A73" s="106"/>
      <c r="B73" s="64"/>
      <c r="C73" s="63"/>
      <c r="D73" s="64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3"/>
      <c r="AB73" s="64"/>
      <c r="AC73" s="107"/>
    </row>
    <row r="74" spans="1:29" s="65" customFormat="1" x14ac:dyDescent="0.2">
      <c r="A74" s="106"/>
      <c r="B74" s="64"/>
      <c r="C74" s="63"/>
      <c r="D74" s="64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3"/>
      <c r="AB74" s="64"/>
      <c r="AC74" s="107"/>
    </row>
    <row r="75" spans="1:29" s="65" customFormat="1" x14ac:dyDescent="0.2">
      <c r="A75" s="106"/>
      <c r="B75" s="64"/>
      <c r="C75" s="63"/>
      <c r="D75" s="64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  <c r="AA75" s="83"/>
      <c r="AB75" s="64"/>
      <c r="AC75" s="107"/>
    </row>
    <row r="76" spans="1:29" s="65" customFormat="1" ht="12.75" customHeight="1" x14ac:dyDescent="0.2">
      <c r="A76" s="106"/>
      <c r="B76" s="64"/>
      <c r="C76" s="63"/>
      <c r="D76" s="64"/>
      <c r="E76" s="275" t="str">
        <f>FIXED(L45,0)&amp;" "&amp;J45</f>
        <v>609,696 (gal/yr)</v>
      </c>
      <c r="F76" s="275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275" t="str">
        <f>FIXED(O45,0)&amp;" "&amp;J45</f>
        <v>571,590 (gal/yr)</v>
      </c>
      <c r="R76" s="275"/>
      <c r="S76" s="82"/>
      <c r="T76" s="82"/>
      <c r="U76" s="82"/>
      <c r="V76" s="82"/>
      <c r="W76" s="82"/>
      <c r="X76" s="82"/>
      <c r="Y76" s="82"/>
      <c r="Z76" s="82"/>
      <c r="AA76" s="83"/>
      <c r="AB76" s="64"/>
      <c r="AC76" s="107"/>
    </row>
    <row r="77" spans="1:29" s="65" customFormat="1" x14ac:dyDescent="0.2">
      <c r="A77" s="106"/>
      <c r="B77" s="64"/>
      <c r="C77" s="63"/>
      <c r="D77" s="78"/>
      <c r="E77" s="275"/>
      <c r="F77" s="275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275"/>
      <c r="R77" s="275"/>
      <c r="S77" s="82"/>
      <c r="T77" s="82"/>
      <c r="U77" s="82"/>
      <c r="V77" s="82"/>
      <c r="W77" s="82"/>
      <c r="X77" s="82"/>
      <c r="Y77" s="82"/>
      <c r="Z77" s="82"/>
      <c r="AA77" s="83"/>
      <c r="AB77" s="64"/>
      <c r="AC77" s="107"/>
    </row>
    <row r="78" spans="1:29" s="65" customFormat="1" ht="12.75" customHeight="1" x14ac:dyDescent="0.2">
      <c r="A78" s="106"/>
      <c r="B78" s="64"/>
      <c r="C78" s="63"/>
      <c r="D78" s="64"/>
      <c r="E78" s="82"/>
      <c r="F78" s="82"/>
      <c r="G78" s="82"/>
      <c r="H78" s="82"/>
      <c r="I78" s="82"/>
      <c r="J78" s="82"/>
      <c r="K78" s="82"/>
      <c r="L78" s="82"/>
      <c r="M78" s="276" t="str">
        <f>FIXED(L46,0)&amp;" "&amp;J46</f>
        <v>152,424 (gal/yr)</v>
      </c>
      <c r="N78" s="276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276" t="str">
        <f>FIXED(O46,0)&amp;" "&amp;J46</f>
        <v>114,318 (gal/yr)</v>
      </c>
      <c r="Z78" s="276"/>
      <c r="AA78" s="83"/>
      <c r="AB78" s="64"/>
      <c r="AC78" s="107"/>
    </row>
    <row r="79" spans="1:29" s="65" customFormat="1" x14ac:dyDescent="0.2">
      <c r="A79" s="106"/>
      <c r="B79" s="64"/>
      <c r="C79" s="63"/>
      <c r="D79" s="64"/>
      <c r="E79" s="82"/>
      <c r="F79" s="82"/>
      <c r="G79" s="82"/>
      <c r="H79" s="82"/>
      <c r="I79" s="82"/>
      <c r="J79" s="82"/>
      <c r="K79" s="82"/>
      <c r="L79" s="82"/>
      <c r="M79" s="276"/>
      <c r="N79" s="276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276"/>
      <c r="Z79" s="276"/>
      <c r="AA79" s="83"/>
      <c r="AB79" s="64"/>
      <c r="AC79" s="107"/>
    </row>
    <row r="80" spans="1:29" s="65" customFormat="1" x14ac:dyDescent="0.2">
      <c r="A80" s="106"/>
      <c r="B80" s="64"/>
      <c r="C80" s="63"/>
      <c r="D80" s="64"/>
      <c r="E80" s="82"/>
      <c r="F80" s="82"/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  <c r="AA80" s="83"/>
      <c r="AB80" s="64"/>
      <c r="AC80" s="107"/>
    </row>
    <row r="81" spans="1:29" s="65" customFormat="1" x14ac:dyDescent="0.2">
      <c r="A81" s="106"/>
      <c r="B81" s="64"/>
      <c r="C81" s="63"/>
      <c r="D81" s="64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3"/>
      <c r="AB81" s="64"/>
      <c r="AC81" s="107"/>
    </row>
    <row r="82" spans="1:29" s="65" customFormat="1" x14ac:dyDescent="0.2">
      <c r="A82" s="106"/>
      <c r="B82" s="64"/>
      <c r="C82" s="63"/>
      <c r="D82" s="64"/>
      <c r="E82" s="82"/>
      <c r="F82" s="82"/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82"/>
      <c r="Z82" s="82"/>
      <c r="AA82" s="83"/>
      <c r="AB82" s="64"/>
      <c r="AC82" s="107"/>
    </row>
    <row r="83" spans="1:29" x14ac:dyDescent="0.2">
      <c r="A83" s="94"/>
      <c r="B83" s="1"/>
      <c r="C83" s="8"/>
      <c r="D83" s="9"/>
      <c r="E83" s="84"/>
      <c r="F83" s="84"/>
      <c r="G83" s="277" t="str">
        <f>FIXED(L27,0)&amp;" gpm"</f>
        <v>30 gpm</v>
      </c>
      <c r="H83" s="277"/>
      <c r="I83" s="277"/>
      <c r="J83" s="84"/>
      <c r="K83" s="84"/>
      <c r="L83" s="84"/>
      <c r="M83" s="84"/>
      <c r="N83" s="84"/>
      <c r="O83" s="84"/>
      <c r="P83" s="84"/>
      <c r="Q83" s="84"/>
      <c r="R83" s="84"/>
      <c r="S83" s="277" t="str">
        <f>FIXED(L27,0)&amp;" gpm"</f>
        <v>30 gpm</v>
      </c>
      <c r="T83" s="277"/>
      <c r="U83" s="277"/>
      <c r="V83" s="84"/>
      <c r="W83" s="84"/>
      <c r="X83" s="84"/>
      <c r="Y83" s="84"/>
      <c r="Z83" s="84"/>
      <c r="AA83" s="85"/>
      <c r="AB83" s="1"/>
      <c r="AC83" s="95"/>
    </row>
    <row r="84" spans="1:29" x14ac:dyDescent="0.2">
      <c r="A84" s="94"/>
      <c r="B84" s="1"/>
      <c r="C84" s="1"/>
      <c r="D84" s="1"/>
      <c r="E84" s="1"/>
      <c r="F84" s="1"/>
      <c r="G84" s="2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2"/>
      <c r="U84" s="1"/>
      <c r="V84" s="1"/>
      <c r="W84" s="1"/>
      <c r="X84" s="1"/>
      <c r="Y84" s="1"/>
      <c r="Z84" s="1"/>
      <c r="AA84" s="1"/>
      <c r="AB84" s="1"/>
      <c r="AC84" s="95"/>
    </row>
    <row r="85" spans="1:29" x14ac:dyDescent="0.2">
      <c r="A85" s="94"/>
      <c r="B85" s="10"/>
      <c r="C85" s="11"/>
      <c r="D85" s="11"/>
      <c r="E85" s="11"/>
      <c r="F85" s="11"/>
      <c r="G85" s="12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2"/>
      <c r="T85" s="11"/>
      <c r="U85" s="11"/>
      <c r="V85" s="11"/>
      <c r="W85" s="11"/>
      <c r="X85" s="11"/>
      <c r="Y85" s="11"/>
      <c r="Z85" s="11"/>
      <c r="AA85" s="11"/>
      <c r="AB85" s="11"/>
      <c r="AC85" s="108"/>
    </row>
    <row r="86" spans="1:29" x14ac:dyDescent="0.2"/>
  </sheetData>
  <sheetProtection password="ED00" sheet="1" objects="1" scenarios="1"/>
  <mergeCells count="162">
    <mergeCell ref="S57:Z57"/>
    <mergeCell ref="D57:I57"/>
    <mergeCell ref="F12:F13"/>
    <mergeCell ref="G12:G13"/>
    <mergeCell ref="L12:L13"/>
    <mergeCell ref="M12:M13"/>
    <mergeCell ref="L28:N28"/>
    <mergeCell ref="L29:N29"/>
    <mergeCell ref="L30:N30"/>
    <mergeCell ref="L31:N31"/>
    <mergeCell ref="L32:N32"/>
    <mergeCell ref="J28:K28"/>
    <mergeCell ref="J29:K29"/>
    <mergeCell ref="J30:K30"/>
    <mergeCell ref="J31:K31"/>
    <mergeCell ref="J32:K32"/>
    <mergeCell ref="S37:Z37"/>
    <mergeCell ref="S38:Z38"/>
    <mergeCell ref="S45:Z45"/>
    <mergeCell ref="D27:I27"/>
    <mergeCell ref="D28:I28"/>
    <mergeCell ref="D29:I29"/>
    <mergeCell ref="D30:I30"/>
    <mergeCell ref="D31:I31"/>
    <mergeCell ref="D59:I59"/>
    <mergeCell ref="L59:N59"/>
    <mergeCell ref="O59:R59"/>
    <mergeCell ref="S59:Z59"/>
    <mergeCell ref="S39:Z39"/>
    <mergeCell ref="S40:Z40"/>
    <mergeCell ref="S41:Z41"/>
    <mergeCell ref="S42:Z42"/>
    <mergeCell ref="J58:K58"/>
    <mergeCell ref="L58:N58"/>
    <mergeCell ref="O58:R58"/>
    <mergeCell ref="S58:Z58"/>
    <mergeCell ref="L42:N42"/>
    <mergeCell ref="D55:I55"/>
    <mergeCell ref="J55:K55"/>
    <mergeCell ref="L55:N55"/>
    <mergeCell ref="O55:R55"/>
    <mergeCell ref="S55:Z55"/>
    <mergeCell ref="D56:I56"/>
    <mergeCell ref="J57:K57"/>
    <mergeCell ref="L57:N57"/>
    <mergeCell ref="L43:N43"/>
    <mergeCell ref="S56:Z56"/>
    <mergeCell ref="D53:I53"/>
    <mergeCell ref="R16:S16"/>
    <mergeCell ref="C23:AA23"/>
    <mergeCell ref="J25:K25"/>
    <mergeCell ref="D25:I25"/>
    <mergeCell ref="Q25:Z25"/>
    <mergeCell ref="L25:N25"/>
    <mergeCell ref="L26:N26"/>
    <mergeCell ref="D26:I26"/>
    <mergeCell ref="J35:K35"/>
    <mergeCell ref="X16:Y16"/>
    <mergeCell ref="E17:F18"/>
    <mergeCell ref="G17:G18"/>
    <mergeCell ref="K17:L18"/>
    <mergeCell ref="M17:M18"/>
    <mergeCell ref="Q17:R18"/>
    <mergeCell ref="S17:S18"/>
    <mergeCell ref="W17:X18"/>
    <mergeCell ref="Y17:Y18"/>
    <mergeCell ref="F16:G16"/>
    <mergeCell ref="L16:M16"/>
    <mergeCell ref="J37:K37"/>
    <mergeCell ref="J26:K26"/>
    <mergeCell ref="J27:K27"/>
    <mergeCell ref="D41:I41"/>
    <mergeCell ref="J38:K38"/>
    <mergeCell ref="J39:K39"/>
    <mergeCell ref="J40:K40"/>
    <mergeCell ref="O37:R37"/>
    <mergeCell ref="O38:R38"/>
    <mergeCell ref="D32:I32"/>
    <mergeCell ref="D33:I33"/>
    <mergeCell ref="D34:I34"/>
    <mergeCell ref="L37:N37"/>
    <mergeCell ref="L38:N38"/>
    <mergeCell ref="D38:I38"/>
    <mergeCell ref="D37:I37"/>
    <mergeCell ref="D39:I39"/>
    <mergeCell ref="D40:I40"/>
    <mergeCell ref="L35:N35"/>
    <mergeCell ref="D35:I35"/>
    <mergeCell ref="L33:N33"/>
    <mergeCell ref="L34:N34"/>
    <mergeCell ref="J33:K33"/>
    <mergeCell ref="J34:K34"/>
    <mergeCell ref="J45:K45"/>
    <mergeCell ref="J53:K53"/>
    <mergeCell ref="L53:N53"/>
    <mergeCell ref="O53:R53"/>
    <mergeCell ref="J41:K41"/>
    <mergeCell ref="L39:N39"/>
    <mergeCell ref="L40:N40"/>
    <mergeCell ref="L41:N41"/>
    <mergeCell ref="J42:K42"/>
    <mergeCell ref="D48:Z48"/>
    <mergeCell ref="D47:Z47"/>
    <mergeCell ref="O39:R39"/>
    <mergeCell ref="O40:R40"/>
    <mergeCell ref="O41:R41"/>
    <mergeCell ref="O42:R42"/>
    <mergeCell ref="O43:R43"/>
    <mergeCell ref="D42:I42"/>
    <mergeCell ref="D45:I45"/>
    <mergeCell ref="D46:I46"/>
    <mergeCell ref="S53:Z53"/>
    <mergeCell ref="J46:K46"/>
    <mergeCell ref="J49:K49"/>
    <mergeCell ref="L45:N45"/>
    <mergeCell ref="L46:N46"/>
    <mergeCell ref="D61:Z61"/>
    <mergeCell ref="D54:I54"/>
    <mergeCell ref="J54:K54"/>
    <mergeCell ref="L54:N54"/>
    <mergeCell ref="O54:R54"/>
    <mergeCell ref="D58:I58"/>
    <mergeCell ref="L27:N27"/>
    <mergeCell ref="S54:Z54"/>
    <mergeCell ref="D43:I43"/>
    <mergeCell ref="O45:R45"/>
    <mergeCell ref="O46:R46"/>
    <mergeCell ref="O49:R49"/>
    <mergeCell ref="O50:R50"/>
    <mergeCell ref="S43:Z43"/>
    <mergeCell ref="S44:Z44"/>
    <mergeCell ref="D44:R44"/>
    <mergeCell ref="J43:K43"/>
    <mergeCell ref="S46:Z46"/>
    <mergeCell ref="S49:Z49"/>
    <mergeCell ref="S50:Z50"/>
    <mergeCell ref="S51:Z51"/>
    <mergeCell ref="J56:K56"/>
    <mergeCell ref="L56:N56"/>
    <mergeCell ref="O56:R56"/>
    <mergeCell ref="L49:N49"/>
    <mergeCell ref="L50:N50"/>
    <mergeCell ref="D49:I49"/>
    <mergeCell ref="D50:I50"/>
    <mergeCell ref="D51:I51"/>
    <mergeCell ref="J50:K50"/>
    <mergeCell ref="J51:K51"/>
    <mergeCell ref="L51:R51"/>
    <mergeCell ref="O57:R57"/>
    <mergeCell ref="E76:F77"/>
    <mergeCell ref="Q76:R77"/>
    <mergeCell ref="M78:N79"/>
    <mergeCell ref="Y78:Z79"/>
    <mergeCell ref="S83:U83"/>
    <mergeCell ref="G83:I83"/>
    <mergeCell ref="S63:Z63"/>
    <mergeCell ref="J62:K62"/>
    <mergeCell ref="J63:K63"/>
    <mergeCell ref="S62:Z62"/>
    <mergeCell ref="D65:Z65"/>
    <mergeCell ref="D62:I62"/>
    <mergeCell ref="D63:I63"/>
  </mergeCells>
  <conditionalFormatting sqref="J21:P21">
    <cfRule type="expression" dxfId="2" priority="42">
      <formula>$N$17&lt;=0</formula>
    </cfRule>
  </conditionalFormatting>
  <conditionalFormatting sqref="K21:O21">
    <cfRule type="expression" dxfId="1" priority="41">
      <formula>$N$17&lt;=0</formula>
    </cfRule>
  </conditionalFormatting>
  <conditionalFormatting sqref="S59:Z59 S51">
    <cfRule type="expression" dxfId="0" priority="1">
      <formula>S51&gt;0</formula>
    </cfRule>
  </conditionalFormatting>
  <dataValidations count="13">
    <dataValidation allowBlank="1" showInputMessage="1" showErrorMessage="1" promptTitle="HINT" prompt="Enter proposed new cycles of concentration. Please verify proposed cycles with the optimizer." sqref="O38:R38"/>
    <dataValidation allowBlank="1" showInputMessage="1" showErrorMessage="1" promptTitle="HINT" prompt="Enter current cycles. The most common calculation for cycles is conductivity of tower water divided by conductivity of make-up water." sqref="L38:N38"/>
    <dataValidation type="list" allowBlank="1" showInputMessage="1" showErrorMessage="1" promptTitle="Select" prompt="Yes or No if an evaporation credit is possible to claim from the city." sqref="L35:N35">
      <formula1>"Yes,No"</formula1>
    </dataValidation>
    <dataValidation type="list" allowBlank="1" showInputMessage="1" showErrorMessage="1" promptTitle="Select" prompt="Yes or No by determining if your customer is getting a sewer credit for evaporation from the city" sqref="L34:N34">
      <formula1>"Yes,No"</formula1>
    </dataValidation>
    <dataValidation allowBlank="1" showInputMessage="1" showErrorMessage="1" promptTitle="HINT" prompt="Best to get this cost from the customer or reference another local customer facility. Average cost USA is $4.00." sqref="L33:N33"/>
    <dataValidation allowBlank="1" showInputMessage="1" showErrorMessage="1" promptTitle="HINT" prompt="Best to get this cost from the customer or reference another local customer facility. Average cost  USA is $3.00." sqref="L32:N32"/>
    <dataValidation allowBlank="1" showInputMessage="1" showErrorMessage="1" promptTitle="HINT" prompt="Utilize your knowledge of the system and discuss with customer to determine Operating Days per Year." sqref="L31:N31"/>
    <dataValidation allowBlank="1" showInputMessage="1" showErrorMessage="1" promptTitle="HINT" prompt="Utilize your knowledge of the system and discuss with customer to determine Operating Hours per Day." sqref="L30:N30"/>
    <dataValidation allowBlank="1" showInputMessage="1" showErrorMessage="1" promptTitle="HINT" prompt="The Evaporation Factor reflects the relative humidity in the vicinity of the tower. Range is 0.75 to 1.0. Typical Factor is usually 0.85." sqref="L29:N29"/>
    <dataValidation allowBlank="1" showInputMessage="1" showErrorMessage="1" promptTitle="HINT" prompt="Typical value is 0.01%." sqref="L28:N28"/>
    <dataValidation allowBlank="1" showInputMessage="1" showErrorMessage="1" promptTitle="HINT" prompt="Get RR from recirc pump nameplate, operators, or engineering specs. If not available determine Tons. Calculate Recirc Rate: RR= Tons * 3." sqref="L27:N27"/>
    <dataValidation allowBlank="1" showInputMessage="1" showErrorMessage="1" promptTitle="HINT" prompt="Determine by subtracting Tower Return Water Temp from Supply Temp. Use average value for year." sqref="L26:N26"/>
    <dataValidation type="list" allowBlank="1" showInputMessage="1" showErrorMessage="1" promptTitle="HINT" prompt="Select all that are appropriate.  Talk to customer to deterime the best figures to enter " sqref="D54:D58">
      <formula1>TCO</formula1>
    </dataValidation>
  </dataValidations>
  <pageMargins left="0.7" right="0.7" top="0.75" bottom="0.75" header="0.3" footer="0.3"/>
  <pageSetup scale="72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65" r:id="rId4" name="TextBox8">
          <controlPr defaultSize="0" autoLine="0" linkedCell="W34" r:id="rId5">
            <anchor moveWithCells="1">
              <from>
                <xdr:col>18</xdr:col>
                <xdr:colOff>0</xdr:colOff>
                <xdr:row>33</xdr:row>
                <xdr:rowOff>38100</xdr:rowOff>
              </from>
              <to>
                <xdr:col>24</xdr:col>
                <xdr:colOff>561975</xdr:colOff>
                <xdr:row>34</xdr:row>
                <xdr:rowOff>38100</xdr:rowOff>
              </to>
            </anchor>
          </controlPr>
        </control>
      </mc:Choice>
      <mc:Fallback>
        <control shapeId="2065" r:id="rId4" name="TextBox8"/>
      </mc:Fallback>
    </mc:AlternateContent>
    <mc:AlternateContent xmlns:mc="http://schemas.openxmlformats.org/markup-compatibility/2006">
      <mc:Choice Requires="x14">
        <control shapeId="2064" r:id="rId6" name="TextBox7">
          <controlPr defaultSize="0" autoLine="0" linkedCell="W33" r:id="rId7">
            <anchor moveWithCells="1">
              <from>
                <xdr:col>18</xdr:col>
                <xdr:colOff>0</xdr:colOff>
                <xdr:row>32</xdr:row>
                <xdr:rowOff>38100</xdr:rowOff>
              </from>
              <to>
                <xdr:col>24</xdr:col>
                <xdr:colOff>561975</xdr:colOff>
                <xdr:row>33</xdr:row>
                <xdr:rowOff>28575</xdr:rowOff>
              </to>
            </anchor>
          </controlPr>
        </control>
      </mc:Choice>
      <mc:Fallback>
        <control shapeId="2064" r:id="rId6" name="TextBox7"/>
      </mc:Fallback>
    </mc:AlternateContent>
    <mc:AlternateContent xmlns:mc="http://schemas.openxmlformats.org/markup-compatibility/2006">
      <mc:Choice Requires="x14">
        <control shapeId="2063" r:id="rId8" name="TextBox6">
          <controlPr defaultSize="0" autoLine="0" linkedCell="W32" r:id="rId9">
            <anchor moveWithCells="1">
              <from>
                <xdr:col>18</xdr:col>
                <xdr:colOff>0</xdr:colOff>
                <xdr:row>31</xdr:row>
                <xdr:rowOff>28575</xdr:rowOff>
              </from>
              <to>
                <xdr:col>24</xdr:col>
                <xdr:colOff>561975</xdr:colOff>
                <xdr:row>32</xdr:row>
                <xdr:rowOff>19050</xdr:rowOff>
              </to>
            </anchor>
          </controlPr>
        </control>
      </mc:Choice>
      <mc:Fallback>
        <control shapeId="2063" r:id="rId8" name="TextBox6"/>
      </mc:Fallback>
    </mc:AlternateContent>
    <mc:AlternateContent xmlns:mc="http://schemas.openxmlformats.org/markup-compatibility/2006">
      <mc:Choice Requires="x14">
        <control shapeId="2062" r:id="rId10" name="TextBox5">
          <controlPr defaultSize="0" autoLine="0" linkedCell="W30" r:id="rId11">
            <anchor moveWithCells="1">
              <from>
                <xdr:col>18</xdr:col>
                <xdr:colOff>0</xdr:colOff>
                <xdr:row>29</xdr:row>
                <xdr:rowOff>28575</xdr:rowOff>
              </from>
              <to>
                <xdr:col>24</xdr:col>
                <xdr:colOff>561975</xdr:colOff>
                <xdr:row>30</xdr:row>
                <xdr:rowOff>19050</xdr:rowOff>
              </to>
            </anchor>
          </controlPr>
        </control>
      </mc:Choice>
      <mc:Fallback>
        <control shapeId="2062" r:id="rId10" name="TextBox5"/>
      </mc:Fallback>
    </mc:AlternateContent>
    <mc:AlternateContent xmlns:mc="http://schemas.openxmlformats.org/markup-compatibility/2006">
      <mc:Choice Requires="x14">
        <control shapeId="2061" r:id="rId12" name="TextBox4">
          <controlPr defaultSize="0" autoLine="0" linkedCell="W29" r:id="rId13">
            <anchor moveWithCells="1">
              <from>
                <xdr:col>18</xdr:col>
                <xdr:colOff>0</xdr:colOff>
                <xdr:row>28</xdr:row>
                <xdr:rowOff>28575</xdr:rowOff>
              </from>
              <to>
                <xdr:col>24</xdr:col>
                <xdr:colOff>561975</xdr:colOff>
                <xdr:row>29</xdr:row>
                <xdr:rowOff>19050</xdr:rowOff>
              </to>
            </anchor>
          </controlPr>
        </control>
      </mc:Choice>
      <mc:Fallback>
        <control shapeId="2061" r:id="rId12" name="TextBox4"/>
      </mc:Fallback>
    </mc:AlternateContent>
    <mc:AlternateContent xmlns:mc="http://schemas.openxmlformats.org/markup-compatibility/2006">
      <mc:Choice Requires="x14">
        <control shapeId="2060" r:id="rId14" name="TextBox3">
          <controlPr defaultSize="0" autoLine="0" linkedCell="W28" r:id="rId15">
            <anchor moveWithCells="1">
              <from>
                <xdr:col>18</xdr:col>
                <xdr:colOff>0</xdr:colOff>
                <xdr:row>27</xdr:row>
                <xdr:rowOff>19050</xdr:rowOff>
              </from>
              <to>
                <xdr:col>24</xdr:col>
                <xdr:colOff>561975</xdr:colOff>
                <xdr:row>28</xdr:row>
                <xdr:rowOff>9525</xdr:rowOff>
              </to>
            </anchor>
          </controlPr>
        </control>
      </mc:Choice>
      <mc:Fallback>
        <control shapeId="2060" r:id="rId14" name="TextBox3"/>
      </mc:Fallback>
    </mc:AlternateContent>
    <mc:AlternateContent xmlns:mc="http://schemas.openxmlformats.org/markup-compatibility/2006">
      <mc:Choice Requires="x14">
        <control shapeId="2059" r:id="rId16" name="TextBox2">
          <controlPr defaultSize="0" autoLine="0" linkedCell="W27" r:id="rId17">
            <anchor moveWithCells="1">
              <from>
                <xdr:col>18</xdr:col>
                <xdr:colOff>0</xdr:colOff>
                <xdr:row>26</xdr:row>
                <xdr:rowOff>19050</xdr:rowOff>
              </from>
              <to>
                <xdr:col>24</xdr:col>
                <xdr:colOff>561975</xdr:colOff>
                <xdr:row>27</xdr:row>
                <xdr:rowOff>9525</xdr:rowOff>
              </to>
            </anchor>
          </controlPr>
        </control>
      </mc:Choice>
      <mc:Fallback>
        <control shapeId="2059" r:id="rId16" name="TextBox2"/>
      </mc:Fallback>
    </mc:AlternateContent>
    <mc:AlternateContent xmlns:mc="http://schemas.openxmlformats.org/markup-compatibility/2006">
      <mc:Choice Requires="x14">
        <control shapeId="2058" r:id="rId18" name="TextBox1">
          <controlPr defaultSize="0" autoLine="0" linkedCell="W26" r:id="rId19">
            <anchor moveWithCells="1">
              <from>
                <xdr:col>18</xdr:col>
                <xdr:colOff>0</xdr:colOff>
                <xdr:row>25</xdr:row>
                <xdr:rowOff>19050</xdr:rowOff>
              </from>
              <to>
                <xdr:col>24</xdr:col>
                <xdr:colOff>561975</xdr:colOff>
                <xdr:row>26</xdr:row>
                <xdr:rowOff>9525</xdr:rowOff>
              </to>
            </anchor>
          </controlPr>
        </control>
      </mc:Choice>
      <mc:Fallback>
        <control shapeId="2058" r:id="rId18" name="TextBox1"/>
      </mc:Fallback>
    </mc:AlternateContent>
    <mc:AlternateContent xmlns:mc="http://schemas.openxmlformats.org/markup-compatibility/2006">
      <mc:Choice Requires="x14">
        <control shapeId="2066" r:id="rId20" name="TextBox9">
          <controlPr defaultSize="0" autoLine="0" linkedCell="W31" r:id="rId21">
            <anchor moveWithCells="1">
              <from>
                <xdr:col>18</xdr:col>
                <xdr:colOff>0</xdr:colOff>
                <xdr:row>30</xdr:row>
                <xdr:rowOff>28575</xdr:rowOff>
              </from>
              <to>
                <xdr:col>24</xdr:col>
                <xdr:colOff>561975</xdr:colOff>
                <xdr:row>31</xdr:row>
                <xdr:rowOff>19050</xdr:rowOff>
              </to>
            </anchor>
          </controlPr>
        </control>
      </mc:Choice>
      <mc:Fallback>
        <control shapeId="2066" r:id="rId20" name="TextBox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Report1</vt:lpstr>
      <vt:lpstr>Equations</vt:lpstr>
      <vt:lpstr>Instructions</vt:lpstr>
      <vt:lpstr>TowerCycles</vt:lpstr>
      <vt:lpstr>NameCity</vt:lpstr>
      <vt:lpstr>NameCompany</vt:lpstr>
      <vt:lpstr>NameCopiesTo</vt:lpstr>
      <vt:lpstr>NameDate</vt:lpstr>
      <vt:lpstr>NamePlant</vt:lpstr>
      <vt:lpstr>NamePreparedBy</vt:lpstr>
      <vt:lpstr>NameShipTo</vt:lpstr>
      <vt:lpstr>NameSoldTo</vt:lpstr>
      <vt:lpstr>NameState</vt:lpstr>
      <vt:lpstr>Report1!Print_Area</vt:lpstr>
      <vt:lpstr>TowerCycles!Print_Area</vt:lpstr>
      <vt:lpstr>PrintArea_Report</vt:lpstr>
      <vt:lpstr>PrintTCO_Area</vt:lpstr>
    </vt:vector>
  </TitlesOfParts>
  <Company>Ecolab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L. DeMarco</dc:creator>
  <cp:lastModifiedBy>Ravi Seetha</cp:lastModifiedBy>
  <cp:lastPrinted>2016-04-19T15:54:09Z</cp:lastPrinted>
  <dcterms:created xsi:type="dcterms:W3CDTF">2010-11-23T18:04:56Z</dcterms:created>
  <dcterms:modified xsi:type="dcterms:W3CDTF">2017-01-12T14:38:18Z</dcterms:modified>
</cp:coreProperties>
</file>